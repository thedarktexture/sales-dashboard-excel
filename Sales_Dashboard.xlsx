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web devlopment\Excel\"/>
    </mc:Choice>
  </mc:AlternateContent>
  <xr:revisionPtr revIDLastSave="0" documentId="13_ncr:1_{6A7DCBF1-9CDA-448E-AE1B-D0F1EB77999C}" xr6:coauthVersionLast="36" xr6:coauthVersionMax="36" xr10:uidLastSave="{00000000-0000-0000-0000-000000000000}"/>
  <bookViews>
    <workbookView xWindow="0" yWindow="0" windowWidth="23040" windowHeight="8940" tabRatio="695" firstSheet="2" activeTab="6" xr2:uid="{B41E5DAF-81D7-4CEB-9D7E-E2581F3CE481}"/>
  </bookViews>
  <sheets>
    <sheet name="Final report" sheetId="6" r:id="rId1"/>
    <sheet name="Unit Sold by Category " sheetId="2" r:id="rId2"/>
    <sheet name="Daily Revenue Trend" sheetId="3" r:id="rId3"/>
    <sheet name="Total revenue by region" sheetId="4" r:id="rId4"/>
    <sheet name="Profit Distribution" sheetId="7" r:id="rId5"/>
    <sheet name="Top product" sheetId="10" r:id="rId6"/>
    <sheet name="Data" sheetId="1" r:id="rId7"/>
  </sheets>
  <definedNames>
    <definedName name="_xlnm.Print_Area" localSheetId="6">Data!$J$15</definedName>
    <definedName name="Slicer_Product_Category">#N/A</definedName>
    <definedName name="Slicer_Region1">#N/A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 i="1" l="1"/>
  <c r="I2" i="1"/>
  <c r="I3" i="1"/>
  <c r="I4" i="1"/>
  <c r="I5" i="1"/>
  <c r="I6" i="1"/>
  <c r="I7" i="1"/>
  <c r="I8" i="1"/>
  <c r="I9" i="1"/>
  <c r="I10" i="1"/>
  <c r="I11" i="1"/>
  <c r="I12" i="1"/>
  <c r="I13" i="1"/>
  <c r="I14" i="1"/>
  <c r="I15" i="1"/>
  <c r="I16" i="1"/>
  <c r="I17" i="1"/>
  <c r="I18" i="1"/>
  <c r="I19" i="1"/>
  <c r="I20" i="1"/>
  <c r="I21" i="1"/>
</calcChain>
</file>

<file path=xl/sharedStrings.xml><?xml version="1.0" encoding="utf-8"?>
<sst xmlns="http://schemas.openxmlformats.org/spreadsheetml/2006/main" count="84" uniqueCount="31">
  <si>
    <t>Date</t>
  </si>
  <si>
    <t>Region</t>
  </si>
  <si>
    <t>Product_Category</t>
  </si>
  <si>
    <t>Units_Sold</t>
  </si>
  <si>
    <t>Unit_Price</t>
  </si>
  <si>
    <t>Operational_Cost</t>
  </si>
  <si>
    <t>Total_Revenue</t>
  </si>
  <si>
    <t>Profit</t>
  </si>
  <si>
    <t>East</t>
  </si>
  <si>
    <t>Electronics</t>
  </si>
  <si>
    <t>North</t>
  </si>
  <si>
    <t>Apparel</t>
  </si>
  <si>
    <t>South</t>
  </si>
  <si>
    <t>Furniture</t>
  </si>
  <si>
    <t>West</t>
  </si>
  <si>
    <r>
      <t>Pivot Table banayein</t>
    </r>
    <r>
      <rPr>
        <sz val="11"/>
        <color theme="1"/>
        <rFont val="Calibri"/>
        <family val="2"/>
        <scheme val="minor"/>
      </rPr>
      <t>: 'Region' ya 'Product_Category' ke anusar sales dekhne ke liye.</t>
    </r>
  </si>
  <si>
    <r>
      <t>Trend Chart</t>
    </r>
    <r>
      <rPr>
        <sz val="11"/>
        <color theme="1"/>
        <rFont val="Calibri"/>
        <family val="2"/>
        <scheme val="minor"/>
      </rPr>
      <t>: Date ke hisaab se 'Total_Revenue' ka trend dekhne ke liye Line Chart ka use karein.</t>
    </r>
  </si>
  <si>
    <r>
      <t>Comparison Chart</t>
    </r>
    <r>
      <rPr>
        <sz val="11"/>
        <color theme="1"/>
        <rFont val="Calibri"/>
        <family val="2"/>
        <scheme val="minor"/>
      </rPr>
      <t>: Regions ke beech profit compare karne ke liye Bar Chart ka use karein.</t>
    </r>
  </si>
  <si>
    <t>Row Labels</t>
  </si>
  <si>
    <t>Grand Total</t>
  </si>
  <si>
    <t>Sum of Total_Revenue</t>
  </si>
  <si>
    <t>Sum of Profit</t>
  </si>
  <si>
    <t>Sum of Units_Sold</t>
  </si>
  <si>
    <t>0-5000</t>
  </si>
  <si>
    <t>5001-10001</t>
  </si>
  <si>
    <t>&gt;10002</t>
  </si>
  <si>
    <t>Count of Profit</t>
  </si>
  <si>
    <t>Column1</t>
  </si>
  <si>
    <t>total revenue</t>
  </si>
  <si>
    <t>Sales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</si>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</sst>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28"/>
      <color theme="0"/>
      <name val="Calibri"/>
      <family val="2"/>
      <scheme val="minor"/>
    </font>
    <font>
      <b/>
      <sz val="28"/>
      <color theme="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4" fontId="0" fillId="3" borderId="1" xfId="0" applyNumberFormat="1" applyFont="1" applyFill="1" applyBorder="1"/>
    <xf numFmtId="0" fontId="2"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4">
    <dxf>
      <numFmt numFmtId="0" formatCode="General"/>
    </dxf>
    <dxf>
      <numFmt numFmtId="19" formatCode="dd/mm/yyyy"/>
    </dxf>
    <dxf>
      <font>
        <color theme="0"/>
      </font>
      <fill>
        <patternFill>
          <bgColor rgb="FF0070C0"/>
        </patternFill>
      </fill>
      <border diagonalUp="0" diagonalDown="0">
        <left style="dashDotDot">
          <color auto="1"/>
        </left>
        <right style="dashDotDot">
          <color auto="1"/>
        </right>
        <top style="dashDotDot">
          <color auto="1"/>
        </top>
        <bottom style="dashDotDot">
          <color auto="1"/>
        </bottom>
        <vertical/>
        <horizontal/>
      </border>
    </dxf>
    <dxf>
      <font>
        <color theme="0"/>
      </font>
      <fill>
        <patternFill>
          <bgColor theme="1" tint="0.499984740745262"/>
        </patternFill>
      </fill>
      <border diagonalUp="0" diagonalDown="0">
        <left/>
        <right/>
        <top/>
        <bottom/>
        <vertical/>
        <horizontal/>
      </border>
    </dxf>
  </dxfs>
  <tableStyles count="1" defaultTableStyle="TableStyleMedium2" defaultPivotStyle="PivotStyleLight16">
    <tableStyle name="001" pivot="0" table="0" count="5" xr9:uid="{7DEA2C52-B976-4929-B9D7-79A21871530C}">
      <tableStyleElement type="wholeTable" dxfId="3"/>
      <tableStyleElement type="headerRow" dxfId="2"/>
    </tableStyle>
  </tableStyles>
  <extLst>
    <ext xmlns:x14="http://schemas.microsoft.com/office/spreadsheetml/2009/9/main" uri="{46F421CA-312F-682f-3DD2-61675219B42D}">
      <x14:dxfs count="3">
        <dxf>
          <fill>
            <patternFill>
              <bgColor theme="5" tint="0.79998168889431442"/>
            </patternFill>
          </fill>
          <border>
            <left style="thin">
              <color auto="1"/>
            </left>
            <right style="thin">
              <color auto="1"/>
            </right>
            <top style="thin">
              <color auto="1"/>
            </top>
            <bottom style="thin">
              <color auto="1"/>
            </bottom>
          </border>
        </dxf>
        <dxf>
          <fill>
            <patternFill>
              <fgColor theme="6" tint="0.79998168889431442"/>
              <bgColor theme="5"/>
            </patternFill>
          </fill>
        </dxf>
        <dxf>
          <fill>
            <patternFill>
              <bgColor theme="3"/>
            </patternFill>
          </fill>
        </dxf>
      </x14:dxfs>
    </ext>
    <ext xmlns:x14="http://schemas.microsoft.com/office/spreadsheetml/2009/9/main" uri="{EB79DEF2-80B8-43e5-95BD-54CBDDF9020C}">
      <x14:slicerStyles defaultSlicerStyle="SlicerStyleLight1">
        <x14:slicerStyle name="00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01.xlsx]Total revenue by region!PivotTable4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region</a:t>
            </a:r>
          </a:p>
          <a:p>
            <a:pPr>
              <a:defRPr/>
            </a:pPr>
            <a:endParaRPr lang="en-US"/>
          </a:p>
        </c:rich>
      </c:tx>
      <c:layout>
        <c:manualLayout>
          <c:xMode val="edge"/>
          <c:yMode val="edge"/>
          <c:x val="0.30818744531933506"/>
          <c:y val="0.114719886507121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revenue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revenue by region'!$A$4:$A$8</c:f>
              <c:strCache>
                <c:ptCount val="4"/>
                <c:pt idx="0">
                  <c:v>East</c:v>
                </c:pt>
                <c:pt idx="1">
                  <c:v>North</c:v>
                </c:pt>
                <c:pt idx="2">
                  <c:v>South</c:v>
                </c:pt>
                <c:pt idx="3">
                  <c:v>West</c:v>
                </c:pt>
              </c:strCache>
            </c:strRef>
          </c:cat>
          <c:val>
            <c:numRef>
              <c:f>'Total revenue by region'!$B$4:$B$8</c:f>
              <c:numCache>
                <c:formatCode>General</c:formatCode>
                <c:ptCount val="4"/>
                <c:pt idx="0">
                  <c:v>40903</c:v>
                </c:pt>
                <c:pt idx="1">
                  <c:v>88947</c:v>
                </c:pt>
                <c:pt idx="2">
                  <c:v>99199</c:v>
                </c:pt>
                <c:pt idx="3">
                  <c:v>24639</c:v>
                </c:pt>
              </c:numCache>
            </c:numRef>
          </c:val>
          <c:extLst>
            <c:ext xmlns:c16="http://schemas.microsoft.com/office/drawing/2014/chart" uri="{C3380CC4-5D6E-409C-BE32-E72D297353CC}">
              <c16:uniqueId val="{00000000-4754-450C-8875-C6A7F0DFE8CA}"/>
            </c:ext>
          </c:extLst>
        </c:ser>
        <c:dLbls>
          <c:showLegendKey val="0"/>
          <c:showVal val="1"/>
          <c:showCatName val="0"/>
          <c:showSerName val="0"/>
          <c:showPercent val="0"/>
          <c:showBubbleSize val="0"/>
        </c:dLbls>
        <c:gapWidth val="150"/>
        <c:shape val="box"/>
        <c:axId val="1150341520"/>
        <c:axId val="1208161680"/>
        <c:axId val="0"/>
      </c:bar3DChart>
      <c:catAx>
        <c:axId val="115034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161680"/>
        <c:crosses val="autoZero"/>
        <c:auto val="1"/>
        <c:lblAlgn val="ctr"/>
        <c:lblOffset val="100"/>
        <c:noMultiLvlLbl val="0"/>
      </c:catAx>
      <c:valAx>
        <c:axId val="1208161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34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01.xlsx]Daily Revenue Trend!PivotTable3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Revenue Trend</a:t>
            </a:r>
          </a:p>
        </c:rich>
      </c:tx>
      <c:layout>
        <c:manualLayout>
          <c:xMode val="edge"/>
          <c:yMode val="edge"/>
          <c:x val="0.34369909285012257"/>
          <c:y val="8.8415709541316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'Daily 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'Daily Revenue Trend'!$A$4:$A$24</c:f>
              <c:strCache>
                <c:ptCount val="2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strCache>
            </c:strRef>
          </c:cat>
          <c:val>
            <c:numRef>
              <c:f>'Daily Revenue Trend'!$B$4:$B$24</c:f>
              <c:numCache>
                <c:formatCode>General</c:formatCode>
                <c:ptCount val="20"/>
                <c:pt idx="0">
                  <c:v>6981</c:v>
                </c:pt>
                <c:pt idx="1">
                  <c:v>21780</c:v>
                </c:pt>
                <c:pt idx="2">
                  <c:v>41932</c:v>
                </c:pt>
                <c:pt idx="3">
                  <c:v>8844</c:v>
                </c:pt>
                <c:pt idx="4">
                  <c:v>13344</c:v>
                </c:pt>
                <c:pt idx="5">
                  <c:v>23604</c:v>
                </c:pt>
                <c:pt idx="6">
                  <c:v>12730</c:v>
                </c:pt>
                <c:pt idx="7">
                  <c:v>11448</c:v>
                </c:pt>
                <c:pt idx="8">
                  <c:v>28266</c:v>
                </c:pt>
                <c:pt idx="9">
                  <c:v>9774</c:v>
                </c:pt>
                <c:pt idx="10">
                  <c:v>5899</c:v>
                </c:pt>
                <c:pt idx="11">
                  <c:v>25172</c:v>
                </c:pt>
                <c:pt idx="12">
                  <c:v>6929</c:v>
                </c:pt>
                <c:pt idx="13">
                  <c:v>6820</c:v>
                </c:pt>
                <c:pt idx="14">
                  <c:v>24096</c:v>
                </c:pt>
                <c:pt idx="15">
                  <c:v>20475</c:v>
                </c:pt>
                <c:pt idx="16">
                  <c:v>11920</c:v>
                </c:pt>
                <c:pt idx="17">
                  <c:v>9210</c:v>
                </c:pt>
                <c:pt idx="18">
                  <c:v>10152</c:v>
                </c:pt>
                <c:pt idx="19">
                  <c:v>11990</c:v>
                </c:pt>
              </c:numCache>
            </c:numRef>
          </c:val>
          <c:smooth val="0"/>
          <c:extLst>
            <c:ext xmlns:c16="http://schemas.microsoft.com/office/drawing/2014/chart" uri="{C3380CC4-5D6E-409C-BE32-E72D297353CC}">
              <c16:uniqueId val="{00000000-CB23-4B1F-90AD-1DC53E43D407}"/>
            </c:ext>
          </c:extLst>
        </c:ser>
        <c:dLbls>
          <c:showLegendKey val="0"/>
          <c:showVal val="0"/>
          <c:showCatName val="0"/>
          <c:showSerName val="0"/>
          <c:showPercent val="0"/>
          <c:showBubbleSize val="0"/>
        </c:dLbls>
        <c:marker val="1"/>
        <c:smooth val="0"/>
        <c:axId val="1156061152"/>
        <c:axId val="1257773568"/>
      </c:lineChart>
      <c:catAx>
        <c:axId val="1156061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773568"/>
        <c:crosses val="autoZero"/>
        <c:auto val="1"/>
        <c:lblAlgn val="ctr"/>
        <c:lblOffset val="100"/>
        <c:noMultiLvlLbl val="0"/>
      </c:catAx>
      <c:valAx>
        <c:axId val="1257773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01.xlsx]Unit Sold by Category !PivotTable1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a:t>
            </a:r>
            <a:r>
              <a:rPr lang="en-US" baseline="0"/>
              <a:t> Sold by Category </a:t>
            </a:r>
            <a:endParaRPr lang="en-US"/>
          </a:p>
        </c:rich>
      </c:tx>
      <c:layout>
        <c:manualLayout>
          <c:xMode val="edge"/>
          <c:yMode val="edge"/>
          <c:x val="0.28352902837366845"/>
          <c:y val="6.03477637491020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88101277836127E-2"/>
          <c:y val="0.2197034147241107"/>
          <c:w val="0.71250704946253751"/>
          <c:h val="0.66122148633232836"/>
        </c:manualLayout>
      </c:layout>
      <c:pie3DChart>
        <c:varyColors val="1"/>
        <c:ser>
          <c:idx val="0"/>
          <c:order val="0"/>
          <c:tx>
            <c:strRef>
              <c:f>'Unit Sold by Category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ABD-4B8B-9760-1193D489B129}"/>
              </c:ext>
            </c:extLst>
          </c:dPt>
          <c:dPt>
            <c:idx val="1"/>
            <c:bubble3D val="0"/>
            <c:explosion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ABD-4B8B-9760-1193D489B129}"/>
              </c:ext>
            </c:extLst>
          </c:dPt>
          <c:dPt>
            <c:idx val="2"/>
            <c:bubble3D val="0"/>
            <c:explosion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ABD-4B8B-9760-1193D489B1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 Sold by Category '!$A$4:$A$7</c:f>
              <c:strCache>
                <c:ptCount val="3"/>
                <c:pt idx="0">
                  <c:v>Apparel</c:v>
                </c:pt>
                <c:pt idx="1">
                  <c:v>Electronics</c:v>
                </c:pt>
                <c:pt idx="2">
                  <c:v>Furniture</c:v>
                </c:pt>
              </c:strCache>
            </c:strRef>
          </c:cat>
          <c:val>
            <c:numRef>
              <c:f>'Unit Sold by Category '!$B$4:$B$7</c:f>
              <c:numCache>
                <c:formatCode>General</c:formatCode>
                <c:ptCount val="3"/>
                <c:pt idx="0">
                  <c:v>278</c:v>
                </c:pt>
                <c:pt idx="1">
                  <c:v>225</c:v>
                </c:pt>
                <c:pt idx="2">
                  <c:v>96</c:v>
                </c:pt>
              </c:numCache>
            </c:numRef>
          </c:val>
          <c:extLst>
            <c:ext xmlns:c16="http://schemas.microsoft.com/office/drawing/2014/chart" uri="{C3380CC4-5D6E-409C-BE32-E72D297353CC}">
              <c16:uniqueId val="{00000006-4ABD-4B8B-9760-1193D489B1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01.xlsx]Profit Distribution!PivotTable1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Distribution'!$B$3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Distribution'!$A$4:$A$7</c:f>
              <c:strCache>
                <c:ptCount val="3"/>
                <c:pt idx="0">
                  <c:v>0-5000</c:v>
                </c:pt>
                <c:pt idx="1">
                  <c:v>5001-10001</c:v>
                </c:pt>
                <c:pt idx="2">
                  <c:v>&gt;10002</c:v>
                </c:pt>
              </c:strCache>
            </c:strRef>
          </c:cat>
          <c:val>
            <c:numRef>
              <c:f>'Profit Distribution'!$B$4:$B$7</c:f>
              <c:numCache>
                <c:formatCode>General</c:formatCode>
                <c:ptCount val="3"/>
                <c:pt idx="0">
                  <c:v>3</c:v>
                </c:pt>
                <c:pt idx="1">
                  <c:v>7</c:v>
                </c:pt>
                <c:pt idx="2">
                  <c:v>10</c:v>
                </c:pt>
              </c:numCache>
            </c:numRef>
          </c:val>
          <c:extLst>
            <c:ext xmlns:c16="http://schemas.microsoft.com/office/drawing/2014/chart" uri="{C3380CC4-5D6E-409C-BE32-E72D297353CC}">
              <c16:uniqueId val="{00000000-05CF-4330-A233-69346B757B39}"/>
            </c:ext>
          </c:extLst>
        </c:ser>
        <c:dLbls>
          <c:showLegendKey val="0"/>
          <c:showVal val="1"/>
          <c:showCatName val="0"/>
          <c:showSerName val="0"/>
          <c:showPercent val="0"/>
          <c:showBubbleSize val="0"/>
        </c:dLbls>
        <c:gapWidth val="150"/>
        <c:shape val="box"/>
        <c:axId val="1023401728"/>
        <c:axId val="919576608"/>
        <c:axId val="0"/>
      </c:bar3DChart>
      <c:catAx>
        <c:axId val="1023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576608"/>
        <c:crosses val="autoZero"/>
        <c:auto val="1"/>
        <c:lblAlgn val="ctr"/>
        <c:lblOffset val="100"/>
        <c:noMultiLvlLbl val="0"/>
      </c:catAx>
      <c:valAx>
        <c:axId val="9195766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401728"/>
        <c:crosses val="autoZero"/>
        <c:crossBetween val="between"/>
      </c:valAx>
      <c:spPr>
        <a:noFill/>
        <a:ln>
          <a:noFill/>
        </a:ln>
        <a:effectLst/>
      </c:spPr>
    </c:plotArea>
    <c:legend>
      <c:legendPos val="r"/>
      <c:layout>
        <c:manualLayout>
          <c:xMode val="edge"/>
          <c:yMode val="edge"/>
          <c:x val="0.77669967093665526"/>
          <c:y val="0.50570574511519395"/>
          <c:w val="8.6359853079451293E-2"/>
          <c:h val="8.26785395707448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01.xlsx]Top product!PivotTable2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Selling</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product'!$A$4:$A$7</c:f>
              <c:strCache>
                <c:ptCount val="3"/>
                <c:pt idx="0">
                  <c:v>Apparel</c:v>
                </c:pt>
                <c:pt idx="1">
                  <c:v>Electronics</c:v>
                </c:pt>
                <c:pt idx="2">
                  <c:v>Furniture</c:v>
                </c:pt>
              </c:strCache>
            </c:strRef>
          </c:cat>
          <c:val>
            <c:numRef>
              <c:f>'Top product'!$B$4:$B$7</c:f>
              <c:numCache>
                <c:formatCode>General</c:formatCode>
                <c:ptCount val="3"/>
                <c:pt idx="0">
                  <c:v>278</c:v>
                </c:pt>
                <c:pt idx="1">
                  <c:v>225</c:v>
                </c:pt>
                <c:pt idx="2">
                  <c:v>96</c:v>
                </c:pt>
              </c:numCache>
            </c:numRef>
          </c:val>
          <c:extLst>
            <c:ext xmlns:c16="http://schemas.microsoft.com/office/drawing/2014/chart" uri="{C3380CC4-5D6E-409C-BE32-E72D297353CC}">
              <c16:uniqueId val="{00000000-DA10-4201-B454-32B3E0C64C3D}"/>
            </c:ext>
          </c:extLst>
        </c:ser>
        <c:dLbls>
          <c:showLegendKey val="0"/>
          <c:showVal val="0"/>
          <c:showCatName val="0"/>
          <c:showSerName val="0"/>
          <c:showPercent val="0"/>
          <c:showBubbleSize val="0"/>
        </c:dLbls>
        <c:gapWidth val="150"/>
        <c:shape val="box"/>
        <c:axId val="1436978175"/>
        <c:axId val="1373601935"/>
        <c:axId val="0"/>
      </c:bar3DChart>
      <c:catAx>
        <c:axId val="14369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601935"/>
        <c:crosses val="autoZero"/>
        <c:auto val="1"/>
        <c:lblAlgn val="ctr"/>
        <c:lblOffset val="100"/>
        <c:noMultiLvlLbl val="0"/>
      </c:catAx>
      <c:valAx>
        <c:axId val="137360193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9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01.xlsx]Unit Sold by Category !PivotTable1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Unit Sold by Category </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51224846894138E-2"/>
          <c:y val="0.32125801983085445"/>
          <c:w val="0.72187532808398958"/>
          <c:h val="0.58565325167687377"/>
        </c:manualLayout>
      </c:layout>
      <c:pie3DChart>
        <c:varyColors val="1"/>
        <c:ser>
          <c:idx val="0"/>
          <c:order val="0"/>
          <c:tx>
            <c:strRef>
              <c:f>'Unit Sold by Category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955-468E-8285-13DC8D196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955-468E-8285-13DC8D196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955-468E-8285-13DC8D196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 Sold by Category '!$A$4:$A$7</c:f>
              <c:strCache>
                <c:ptCount val="3"/>
                <c:pt idx="0">
                  <c:v>Apparel</c:v>
                </c:pt>
                <c:pt idx="1">
                  <c:v>Electronics</c:v>
                </c:pt>
                <c:pt idx="2">
                  <c:v>Furniture</c:v>
                </c:pt>
              </c:strCache>
            </c:strRef>
          </c:cat>
          <c:val>
            <c:numRef>
              <c:f>'Unit Sold by Category '!$B$4:$B$7</c:f>
              <c:numCache>
                <c:formatCode>General</c:formatCode>
                <c:ptCount val="3"/>
                <c:pt idx="0">
                  <c:v>278</c:v>
                </c:pt>
                <c:pt idx="1">
                  <c:v>225</c:v>
                </c:pt>
                <c:pt idx="2">
                  <c:v>96</c:v>
                </c:pt>
              </c:numCache>
            </c:numRef>
          </c:val>
          <c:extLst>
            <c:ext xmlns:c16="http://schemas.microsoft.com/office/drawing/2014/chart" uri="{C3380CC4-5D6E-409C-BE32-E72D297353CC}">
              <c16:uniqueId val="{00000000-911F-4F9C-A537-4A610D95BF1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01.xlsx]Daily Revenue Trend!PivotTable3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Daily Revenue Trend</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30334871934111685"/>
          <c:y val="8.594513921053986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8.322089712260769E-2"/>
          <c:y val="0.2902209527730602"/>
          <c:w val="0.76863551870339819"/>
          <c:h val="0.40174978127734023"/>
        </c:manualLayout>
      </c:layout>
      <c:lineChart>
        <c:grouping val="stacked"/>
        <c:varyColors val="0"/>
        <c:ser>
          <c:idx val="0"/>
          <c:order val="0"/>
          <c:tx>
            <c:strRef>
              <c:f>'Daily 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'Daily Revenue Trend'!$A$4:$A$24</c:f>
              <c:strCache>
                <c:ptCount val="20"/>
                <c:pt idx="0">
                  <c:v>01-01-2026</c:v>
                </c:pt>
                <c:pt idx="1">
                  <c:v>02-01-2026</c:v>
                </c:pt>
                <c:pt idx="2">
                  <c:v>03-01-2026</c:v>
                </c:pt>
                <c:pt idx="3">
                  <c:v>04-01-2026</c:v>
                </c:pt>
                <c:pt idx="4">
                  <c:v>05-01-2026</c:v>
                </c:pt>
                <c:pt idx="5">
                  <c:v>06-01-2026</c:v>
                </c:pt>
                <c:pt idx="6">
                  <c:v>07-01-2026</c:v>
                </c:pt>
                <c:pt idx="7">
                  <c:v>08-01-2026</c:v>
                </c:pt>
                <c:pt idx="8">
                  <c:v>09-01-2026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strCache>
            </c:strRef>
          </c:cat>
          <c:val>
            <c:numRef>
              <c:f>'Daily Revenue Trend'!$B$4:$B$24</c:f>
              <c:numCache>
                <c:formatCode>General</c:formatCode>
                <c:ptCount val="20"/>
                <c:pt idx="0">
                  <c:v>6981</c:v>
                </c:pt>
                <c:pt idx="1">
                  <c:v>21780</c:v>
                </c:pt>
                <c:pt idx="2">
                  <c:v>41932</c:v>
                </c:pt>
                <c:pt idx="3">
                  <c:v>8844</c:v>
                </c:pt>
                <c:pt idx="4">
                  <c:v>13344</c:v>
                </c:pt>
                <c:pt idx="5">
                  <c:v>23604</c:v>
                </c:pt>
                <c:pt idx="6">
                  <c:v>12730</c:v>
                </c:pt>
                <c:pt idx="7">
                  <c:v>11448</c:v>
                </c:pt>
                <c:pt idx="8">
                  <c:v>28266</c:v>
                </c:pt>
                <c:pt idx="9">
                  <c:v>9774</c:v>
                </c:pt>
                <c:pt idx="10">
                  <c:v>5899</c:v>
                </c:pt>
                <c:pt idx="11">
                  <c:v>25172</c:v>
                </c:pt>
                <c:pt idx="12">
                  <c:v>6929</c:v>
                </c:pt>
                <c:pt idx="13">
                  <c:v>6820</c:v>
                </c:pt>
                <c:pt idx="14">
                  <c:v>24096</c:v>
                </c:pt>
                <c:pt idx="15">
                  <c:v>20475</c:v>
                </c:pt>
                <c:pt idx="16">
                  <c:v>11920</c:v>
                </c:pt>
                <c:pt idx="17">
                  <c:v>9210</c:v>
                </c:pt>
                <c:pt idx="18">
                  <c:v>10152</c:v>
                </c:pt>
                <c:pt idx="19">
                  <c:v>11990</c:v>
                </c:pt>
              </c:numCache>
            </c:numRef>
          </c:val>
          <c:smooth val="0"/>
          <c:extLst>
            <c:ext xmlns:c16="http://schemas.microsoft.com/office/drawing/2014/chart" uri="{C3380CC4-5D6E-409C-BE32-E72D297353CC}">
              <c16:uniqueId val="{00000000-1555-499E-BF86-426D3C4BA16C}"/>
            </c:ext>
          </c:extLst>
        </c:ser>
        <c:dLbls>
          <c:showLegendKey val="0"/>
          <c:showVal val="0"/>
          <c:showCatName val="0"/>
          <c:showSerName val="0"/>
          <c:showPercent val="0"/>
          <c:showBubbleSize val="0"/>
        </c:dLbls>
        <c:marker val="1"/>
        <c:smooth val="0"/>
        <c:axId val="1156061152"/>
        <c:axId val="1257773568"/>
      </c:lineChart>
      <c:catAx>
        <c:axId val="1156061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773568"/>
        <c:crosses val="autoZero"/>
        <c:auto val="1"/>
        <c:lblAlgn val="ctr"/>
        <c:lblOffset val="100"/>
        <c:noMultiLvlLbl val="0"/>
      </c:catAx>
      <c:valAx>
        <c:axId val="1257773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01.xlsx]Total revenue by region!PivotTable4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Total revenue by region</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19866666666666666"/>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'Total revenue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 revenue by region'!$A$4:$A$8</c:f>
              <c:strCache>
                <c:ptCount val="4"/>
                <c:pt idx="0">
                  <c:v>East</c:v>
                </c:pt>
                <c:pt idx="1">
                  <c:v>North</c:v>
                </c:pt>
                <c:pt idx="2">
                  <c:v>South</c:v>
                </c:pt>
                <c:pt idx="3">
                  <c:v>West</c:v>
                </c:pt>
              </c:strCache>
            </c:strRef>
          </c:cat>
          <c:val>
            <c:numRef>
              <c:f>'Total revenue by region'!$B$4:$B$8</c:f>
              <c:numCache>
                <c:formatCode>General</c:formatCode>
                <c:ptCount val="4"/>
                <c:pt idx="0">
                  <c:v>40903</c:v>
                </c:pt>
                <c:pt idx="1">
                  <c:v>88947</c:v>
                </c:pt>
                <c:pt idx="2">
                  <c:v>99199</c:v>
                </c:pt>
                <c:pt idx="3">
                  <c:v>24639</c:v>
                </c:pt>
              </c:numCache>
            </c:numRef>
          </c:val>
          <c:extLst>
            <c:ext xmlns:c16="http://schemas.microsoft.com/office/drawing/2014/chart" uri="{C3380CC4-5D6E-409C-BE32-E72D297353CC}">
              <c16:uniqueId val="{00000000-382B-48E1-B23D-16747E51919C}"/>
            </c:ext>
          </c:extLst>
        </c:ser>
        <c:dLbls>
          <c:showLegendKey val="0"/>
          <c:showVal val="0"/>
          <c:showCatName val="0"/>
          <c:showSerName val="0"/>
          <c:showPercent val="0"/>
          <c:showBubbleSize val="0"/>
        </c:dLbls>
        <c:gapWidth val="150"/>
        <c:shape val="box"/>
        <c:axId val="1150341520"/>
        <c:axId val="1208161680"/>
        <c:axId val="0"/>
      </c:bar3DChart>
      <c:catAx>
        <c:axId val="115034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161680"/>
        <c:crosses val="autoZero"/>
        <c:auto val="1"/>
        <c:lblAlgn val="ctr"/>
        <c:lblOffset val="100"/>
        <c:noMultiLvlLbl val="0"/>
      </c:catAx>
      <c:valAx>
        <c:axId val="1208161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34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01.xlsx]Profit Distribution!PivotTable1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Profit Distribution</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165026559477975E-2"/>
          <c:y val="0.31585054393453343"/>
          <c:w val="0.75571710590513652"/>
          <c:h val="0.44297215373330862"/>
        </c:manualLayout>
      </c:layout>
      <c:bar3DChart>
        <c:barDir val="col"/>
        <c:grouping val="clustered"/>
        <c:varyColors val="0"/>
        <c:ser>
          <c:idx val="0"/>
          <c:order val="0"/>
          <c:tx>
            <c:strRef>
              <c:f>'Profit Distribution'!$B$3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Distribution'!$A$4:$A$7</c:f>
              <c:strCache>
                <c:ptCount val="3"/>
                <c:pt idx="0">
                  <c:v>0-5000</c:v>
                </c:pt>
                <c:pt idx="1">
                  <c:v>5001-10001</c:v>
                </c:pt>
                <c:pt idx="2">
                  <c:v>&gt;10002</c:v>
                </c:pt>
              </c:strCache>
            </c:strRef>
          </c:cat>
          <c:val>
            <c:numRef>
              <c:f>'Profit Distribution'!$B$4:$B$7</c:f>
              <c:numCache>
                <c:formatCode>General</c:formatCode>
                <c:ptCount val="3"/>
                <c:pt idx="0">
                  <c:v>3</c:v>
                </c:pt>
                <c:pt idx="1">
                  <c:v>7</c:v>
                </c:pt>
                <c:pt idx="2">
                  <c:v>10</c:v>
                </c:pt>
              </c:numCache>
            </c:numRef>
          </c:val>
          <c:extLst>
            <c:ext xmlns:c16="http://schemas.microsoft.com/office/drawing/2014/chart" uri="{C3380CC4-5D6E-409C-BE32-E72D297353CC}">
              <c16:uniqueId val="{00000017-802F-4A9D-887F-A680B80AE264}"/>
            </c:ext>
          </c:extLst>
        </c:ser>
        <c:dLbls>
          <c:showLegendKey val="0"/>
          <c:showVal val="0"/>
          <c:showCatName val="0"/>
          <c:showSerName val="0"/>
          <c:showPercent val="0"/>
          <c:showBubbleSize val="0"/>
        </c:dLbls>
        <c:gapWidth val="100"/>
        <c:shape val="box"/>
        <c:axId val="1023401728"/>
        <c:axId val="919576608"/>
        <c:axId val="0"/>
      </c:bar3DChart>
      <c:catAx>
        <c:axId val="1023401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576608"/>
        <c:crosses val="autoZero"/>
        <c:auto val="1"/>
        <c:lblAlgn val="ctr"/>
        <c:lblOffset val="100"/>
        <c:noMultiLvlLbl val="0"/>
      </c:catAx>
      <c:valAx>
        <c:axId val="919576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401728"/>
        <c:crosses val="autoZero"/>
        <c:crossBetween val="between"/>
      </c:valAx>
      <c:spPr>
        <a:noFill/>
        <a:ln>
          <a:noFill/>
        </a:ln>
        <a:effectLst/>
      </c:spPr>
    </c:plotArea>
    <c:legend>
      <c:legendPos val="r"/>
      <c:layout>
        <c:manualLayout>
          <c:xMode val="edge"/>
          <c:yMode val="edge"/>
          <c:x val="0.77669967093665526"/>
          <c:y val="0.50570574511519395"/>
          <c:w val="0.11409816623255745"/>
          <c:h val="9.89063867016623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01.xlsx]Top 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product'!$A$4:$A$7</c:f>
              <c:strCache>
                <c:ptCount val="3"/>
                <c:pt idx="0">
                  <c:v>Apparel</c:v>
                </c:pt>
                <c:pt idx="1">
                  <c:v>Electronics</c:v>
                </c:pt>
                <c:pt idx="2">
                  <c:v>Furniture</c:v>
                </c:pt>
              </c:strCache>
            </c:strRef>
          </c:cat>
          <c:val>
            <c:numRef>
              <c:f>'Top product'!$B$4:$B$7</c:f>
              <c:numCache>
                <c:formatCode>General</c:formatCode>
                <c:ptCount val="3"/>
                <c:pt idx="0">
                  <c:v>278</c:v>
                </c:pt>
                <c:pt idx="1">
                  <c:v>225</c:v>
                </c:pt>
                <c:pt idx="2">
                  <c:v>96</c:v>
                </c:pt>
              </c:numCache>
            </c:numRef>
          </c:val>
          <c:extLst>
            <c:ext xmlns:c16="http://schemas.microsoft.com/office/drawing/2014/chart" uri="{C3380CC4-5D6E-409C-BE32-E72D297353CC}">
              <c16:uniqueId val="{00000000-4893-4BBB-ABBD-6476C0396814}"/>
            </c:ext>
          </c:extLst>
        </c:ser>
        <c:dLbls>
          <c:showLegendKey val="0"/>
          <c:showVal val="0"/>
          <c:showCatName val="0"/>
          <c:showSerName val="0"/>
          <c:showPercent val="0"/>
          <c:showBubbleSize val="0"/>
        </c:dLbls>
        <c:gapWidth val="150"/>
        <c:shape val="box"/>
        <c:axId val="1436978175"/>
        <c:axId val="1373601935"/>
        <c:axId val="0"/>
      </c:bar3DChart>
      <c:catAx>
        <c:axId val="14369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601935"/>
        <c:crosses val="autoZero"/>
        <c:auto val="1"/>
        <c:lblAlgn val="ctr"/>
        <c:lblOffset val="100"/>
        <c:noMultiLvlLbl val="0"/>
      </c:catAx>
      <c:valAx>
        <c:axId val="137360193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9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0</xdr:col>
      <xdr:colOff>310244</xdr:colOff>
      <xdr:row>4</xdr:row>
      <xdr:rowOff>87441</xdr:rowOff>
    </xdr:from>
    <xdr:to>
      <xdr:col>7</xdr:col>
      <xdr:colOff>444183</xdr:colOff>
      <xdr:row>18</xdr:row>
      <xdr:rowOff>8390</xdr:rowOff>
    </xdr:to>
    <xdr:graphicFrame macro="">
      <xdr:nvGraphicFramePr>
        <xdr:cNvPr id="2" name="Chart 1">
          <a:extLst>
            <a:ext uri="{FF2B5EF4-FFF2-40B4-BE49-F238E27FC236}">
              <a16:creationId xmlns:a16="http://schemas.microsoft.com/office/drawing/2014/main" id="{D6F162D0-8284-4424-86E8-A669DA6D4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580210</xdr:colOff>
      <xdr:row>4</xdr:row>
      <xdr:rowOff>87085</xdr:rowOff>
    </xdr:from>
    <xdr:to>
      <xdr:col>15</xdr:col>
      <xdr:colOff>415160</xdr:colOff>
      <xdr:row>18</xdr:row>
      <xdr:rowOff>6921</xdr:rowOff>
    </xdr:to>
    <xdr:graphicFrame macro="">
      <xdr:nvGraphicFramePr>
        <xdr:cNvPr id="3" name="Chart 2">
          <a:extLst>
            <a:ext uri="{FF2B5EF4-FFF2-40B4-BE49-F238E27FC236}">
              <a16:creationId xmlns:a16="http://schemas.microsoft.com/office/drawing/2014/main" id="{5E79ACE6-79B6-4B4D-8F01-D8037D9A2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304801</xdr:colOff>
      <xdr:row>18</xdr:row>
      <xdr:rowOff>116539</xdr:rowOff>
    </xdr:from>
    <xdr:to>
      <xdr:col>7</xdr:col>
      <xdr:colOff>453360</xdr:colOff>
      <xdr:row>31</xdr:row>
      <xdr:rowOff>179357</xdr:rowOff>
    </xdr:to>
    <xdr:graphicFrame macro="">
      <xdr:nvGraphicFramePr>
        <xdr:cNvPr id="6" name="Chart 5">
          <a:extLst>
            <a:ext uri="{FF2B5EF4-FFF2-40B4-BE49-F238E27FC236}">
              <a16:creationId xmlns:a16="http://schemas.microsoft.com/office/drawing/2014/main" id="{D35578EE-7361-47F1-9BFB-66A008CF2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563893</xdr:colOff>
      <xdr:row>18</xdr:row>
      <xdr:rowOff>125369</xdr:rowOff>
    </xdr:from>
    <xdr:to>
      <xdr:col>15</xdr:col>
      <xdr:colOff>415530</xdr:colOff>
      <xdr:row>31</xdr:row>
      <xdr:rowOff>146769</xdr:rowOff>
    </xdr:to>
    <xdr:graphicFrame macro="">
      <xdr:nvGraphicFramePr>
        <xdr:cNvPr id="9" name="Chart 8">
          <a:extLst>
            <a:ext uri="{FF2B5EF4-FFF2-40B4-BE49-F238E27FC236}">
              <a16:creationId xmlns:a16="http://schemas.microsoft.com/office/drawing/2014/main" id="{BBB863F0-41A8-4509-957A-4198372CD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446632</xdr:colOff>
      <xdr:row>1</xdr:row>
      <xdr:rowOff>356692</xdr:rowOff>
    </xdr:from>
    <xdr:to>
      <xdr:col>23</xdr:col>
      <xdr:colOff>231493</xdr:colOff>
      <xdr:row>6</xdr:row>
      <xdr:rowOff>183264</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F71347E1-7468-4422-B730-76EE83EA4D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69366" y="646059"/>
              <a:ext cx="4038557" cy="974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31039</xdr:colOff>
      <xdr:row>7</xdr:row>
      <xdr:rowOff>178</xdr:rowOff>
    </xdr:from>
    <xdr:to>
      <xdr:col>22</xdr:col>
      <xdr:colOff>569088</xdr:colOff>
      <xdr:row>13</xdr:row>
      <xdr:rowOff>19291</xdr:rowOff>
    </xdr:to>
    <mc:AlternateContent xmlns:mc="http://schemas.openxmlformats.org/markup-compatibility/2006">
      <mc:Choice xmlns:a14="http://schemas.microsoft.com/office/drawing/2010/main" Requires="a14">
        <xdr:graphicFrame macro="">
          <xdr:nvGraphicFramePr>
            <xdr:cNvPr id="11" name="Product_Category">
              <a:extLst>
                <a:ext uri="{FF2B5EF4-FFF2-40B4-BE49-F238E27FC236}">
                  <a16:creationId xmlns:a16="http://schemas.microsoft.com/office/drawing/2014/main" id="{1B721DB0-1143-4773-87ED-87110C4D7D3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361444" y="1620634"/>
              <a:ext cx="3576403" cy="1118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511629</xdr:colOff>
      <xdr:row>18</xdr:row>
      <xdr:rowOff>152400</xdr:rowOff>
    </xdr:from>
    <xdr:to>
      <xdr:col>23</xdr:col>
      <xdr:colOff>326572</xdr:colOff>
      <xdr:row>32</xdr:row>
      <xdr:rowOff>1118</xdr:rowOff>
    </xdr:to>
    <xdr:graphicFrame macro="">
      <xdr:nvGraphicFramePr>
        <xdr:cNvPr id="8" name="Chart 7">
          <a:extLst>
            <a:ext uri="{FF2B5EF4-FFF2-40B4-BE49-F238E27FC236}">
              <a16:creationId xmlns:a16="http://schemas.microsoft.com/office/drawing/2014/main" id="{6A07E539-08F3-4E7A-9680-3B6AB9C1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609600</xdr:colOff>
      <xdr:row>11</xdr:row>
      <xdr:rowOff>99060</xdr:rowOff>
    </xdr:from>
    <xdr:to>
      <xdr:col>1</xdr:col>
      <xdr:colOff>944880</xdr:colOff>
      <xdr:row>19</xdr:row>
      <xdr:rowOff>38100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E67F3C7-B9DC-4509-ADC9-3976651552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0" y="2110740"/>
              <a:ext cx="119634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118110</xdr:colOff>
      <xdr:row>3</xdr:row>
      <xdr:rowOff>38100</xdr:rowOff>
    </xdr:from>
    <xdr:to>
      <xdr:col>7</xdr:col>
      <xdr:colOff>468630</xdr:colOff>
      <xdr:row>18</xdr:row>
      <xdr:rowOff>38100</xdr:rowOff>
    </xdr:to>
    <xdr:graphicFrame macro="">
      <xdr:nvGraphicFramePr>
        <xdr:cNvPr id="3" name="Chart 2">
          <a:extLst>
            <a:ext uri="{FF2B5EF4-FFF2-40B4-BE49-F238E27FC236}">
              <a16:creationId xmlns:a16="http://schemas.microsoft.com/office/drawing/2014/main" id="{5EE054C3-AD0B-42E2-99D2-4EC8FA38C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xdr:colOff>
      <xdr:row>2</xdr:row>
      <xdr:rowOff>15240</xdr:rowOff>
    </xdr:from>
    <xdr:to>
      <xdr:col>11</xdr:col>
      <xdr:colOff>571500</xdr:colOff>
      <xdr:row>14</xdr:row>
      <xdr:rowOff>152400</xdr:rowOff>
    </xdr:to>
    <xdr:graphicFrame macro="">
      <xdr:nvGraphicFramePr>
        <xdr:cNvPr id="2" name="Chart 1">
          <a:extLst>
            <a:ext uri="{FF2B5EF4-FFF2-40B4-BE49-F238E27FC236}">
              <a16:creationId xmlns:a16="http://schemas.microsoft.com/office/drawing/2014/main" id="{D0DA0189-580B-4C73-8297-62C90C013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xdr:colOff>
      <xdr:row>1</xdr:row>
      <xdr:rowOff>121920</xdr:rowOff>
    </xdr:from>
    <xdr:to>
      <xdr:col>10</xdr:col>
      <xdr:colOff>388620</xdr:colOff>
      <xdr:row>16</xdr:row>
      <xdr:rowOff>121920</xdr:rowOff>
    </xdr:to>
    <xdr:graphicFrame macro="">
      <xdr:nvGraphicFramePr>
        <xdr:cNvPr id="2" name="Chart 1">
          <a:extLst>
            <a:ext uri="{FF2B5EF4-FFF2-40B4-BE49-F238E27FC236}">
              <a16:creationId xmlns:a16="http://schemas.microsoft.com/office/drawing/2014/main" id="{CF5E0726-F55D-429F-9E54-050E818E9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582930</xdr:colOff>
      <xdr:row>1</xdr:row>
      <xdr:rowOff>76200</xdr:rowOff>
    </xdr:from>
    <xdr:to>
      <xdr:col>14</xdr:col>
      <xdr:colOff>175260</xdr:colOff>
      <xdr:row>13</xdr:row>
      <xdr:rowOff>144780</xdr:rowOff>
    </xdr:to>
    <xdr:graphicFrame macro="">
      <xdr:nvGraphicFramePr>
        <xdr:cNvPr id="2" name="Chart 1">
          <a:extLst>
            <a:ext uri="{FF2B5EF4-FFF2-40B4-BE49-F238E27FC236}">
              <a16:creationId xmlns:a16="http://schemas.microsoft.com/office/drawing/2014/main" id="{33682D23-AE6F-4A29-AF18-3965AE2BB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480060</xdr:colOff>
      <xdr:row>3</xdr:row>
      <xdr:rowOff>106680</xdr:rowOff>
    </xdr:from>
    <xdr:to>
      <xdr:col>13</xdr:col>
      <xdr:colOff>175260</xdr:colOff>
      <xdr:row>18</xdr:row>
      <xdr:rowOff>106680</xdr:rowOff>
    </xdr:to>
    <xdr:graphicFrame macro="">
      <xdr:nvGraphicFramePr>
        <xdr:cNvPr id="2" name="Chart 1">
          <a:extLst>
            <a:ext uri="{FF2B5EF4-FFF2-40B4-BE49-F238E27FC236}">
              <a16:creationId xmlns:a16="http://schemas.microsoft.com/office/drawing/2014/main" id="{7B7C2D79-6E21-41BE-AABF-473782838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381060</xdr:colOff>
      <xdr:row>8</xdr:row>
      <xdr:rowOff>152340</xdr:rowOff>
    </xdr:from>
    <xdr:to>
      <xdr:col>10</xdr:col>
      <xdr:colOff>381420</xdr:colOff>
      <xdr:row>8</xdr:row>
      <xdr:rowOff>152700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740700A-BBB2-4C86-A172-38CEE96247D8}"/>
                </a:ext>
              </a:extLst>
            </xdr14:cNvPr>
            <xdr14:cNvContentPartPr/>
          </xdr14:nvContentPartPr>
          <xdr14:nvPr macro=""/>
          <xdr14:xfrm>
            <a:off x="9022140" y="1615380"/>
            <a:ext cx="360" cy="360"/>
          </xdr14:xfrm>
        </xdr:contentPart>
      </mc:Choice>
      <mc:Fallback xmlns="">
        <xdr:pic>
          <xdr:nvPicPr>
            <xdr:cNvPr id="2" name="Ink 1">
              <a:extLst>
                <a:ext uri="{FF2B5EF4-FFF2-40B4-BE49-F238E27FC236}">
                  <a16:creationId xmlns:a16="http://schemas.microsoft.com/office/drawing/2014/main" id="{9740700A-BBB2-4C86-A172-38CEE96247D8}"/>
                </a:ext>
              </a:extLst>
            </xdr:cNvPr>
            <xdr:cNvPicPr/>
          </xdr:nvPicPr>
          <xdr:blipFill>
            <a:blip xmlns:r="http://schemas.openxmlformats.org/officeDocument/2006/relationships" r:embed="rId2"/>
            <a:stretch>
              <a:fillRect/>
            </a:stretch>
          </xdr:blipFill>
          <xdr:spPr>
            <a:xfrm>
              <a:off x="8968140" y="1507380"/>
              <a:ext cx="108000" cy="216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6-07-02T10:41:59.444"/>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0 0 0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Tiwari" refreshedDate="46204.782761458337" createdVersion="6" refreshedVersion="6" minRefreshableVersion="3" recordCount="20" xr:uid="{247DC0B4-48E4-45ED-83C6-3D4229640E90}">
  <cacheSource type="worksheet">
    <worksheetSource name="Table1"/>
  </cacheSource>
  <cacheFields count="8">
    <cacheField name="Date" numFmtId="14">
      <sharedItems containsSemiMixedTypes="0" containsNonDate="0" containsDate="1" containsString="0" minDate="2026-01-01T00:00:00" maxDate="2026-01-21T00:00:00" count="2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sharedItems>
    </cacheField>
    <cacheField name="Region" numFmtId="0">
      <sharedItems count="4">
        <s v="East"/>
        <s v="North"/>
        <s v="South"/>
        <s v="West"/>
      </sharedItems>
    </cacheField>
    <cacheField name="Product_Category" numFmtId="0">
      <sharedItems count="3">
        <s v="Electronics"/>
        <s v="Apparel"/>
        <s v="Furniture"/>
      </sharedItems>
    </cacheField>
    <cacheField name="Units_Sold" numFmtId="0">
      <sharedItems containsSemiMixedTypes="0" containsString="0" containsNumber="1" containsInteger="1" minValue="11" maxValue="48" count="16">
        <n v="39"/>
        <n v="22"/>
        <n v="44"/>
        <n v="48"/>
        <n v="42"/>
        <n v="38"/>
        <n v="36"/>
        <n v="27"/>
        <n v="17"/>
        <n v="29"/>
        <n v="13"/>
        <n v="11"/>
        <n v="32"/>
        <n v="35"/>
        <n v="16"/>
        <n v="15"/>
      </sharedItems>
    </cacheField>
    <cacheField name="Unit_Price" numFmtId="0">
      <sharedItems containsSemiMixedTypes="0" containsString="0" containsNumber="1" containsInteger="1" minValue="179" maxValue="990" count="20">
        <n v="179"/>
        <n v="990"/>
        <n v="953"/>
        <n v="201"/>
        <n v="278"/>
        <n v="562"/>
        <n v="335"/>
        <n v="318"/>
        <n v="673"/>
        <n v="362"/>
        <n v="347"/>
        <n v="868"/>
        <n v="533"/>
        <n v="620"/>
        <n v="753"/>
        <n v="585"/>
        <n v="745"/>
        <n v="614"/>
        <n v="376"/>
        <n v="545"/>
      </sharedItems>
    </cacheField>
    <cacheField name="Operational_Cost" numFmtId="0">
      <sharedItems containsSemiMixedTypes="0" containsString="0" containsNumber="1" containsInteger="1" minValue="22" maxValue="191" count="18">
        <n v="116"/>
        <n v="32"/>
        <n v="191"/>
        <n v="56"/>
        <n v="22"/>
        <n v="132"/>
        <n v="60"/>
        <n v="187"/>
        <n v="38"/>
        <n v="74"/>
        <n v="29"/>
        <n v="91"/>
        <n v="177"/>
        <n v="144"/>
        <n v="48"/>
        <n v="25"/>
        <n v="156"/>
        <n v="86"/>
      </sharedItems>
    </cacheField>
    <cacheField name="Total_Revenue" numFmtId="0">
      <sharedItems containsSemiMixedTypes="0" containsString="0" containsNumber="1" containsInteger="1" minValue="5899" maxValue="41932" count="20">
        <n v="6981"/>
        <n v="21780"/>
        <n v="41932"/>
        <n v="8844"/>
        <n v="13344"/>
        <n v="23604"/>
        <n v="12730"/>
        <n v="11448"/>
        <n v="28266"/>
        <n v="9774"/>
        <n v="5899"/>
        <n v="25172"/>
        <n v="6929"/>
        <n v="6820"/>
        <n v="24096"/>
        <n v="20475"/>
        <n v="11920"/>
        <n v="9210"/>
        <n v="10152"/>
        <n v="11990"/>
      </sharedItems>
    </cacheField>
    <cacheField name="Profit" numFmtId="0">
      <sharedItems containsSemiMixedTypes="0" containsString="0" containsNumber="1" containsInteger="1" minValue="2457" maxValue="33528" count="20">
        <n v="2457"/>
        <n v="21076"/>
        <n v="33528"/>
        <n v="6380"/>
        <n v="12288"/>
        <n v="18060"/>
        <n v="10450"/>
        <n v="4716"/>
        <n v="26670"/>
        <n v="7776"/>
        <n v="5406"/>
        <n v="22533"/>
        <n v="4628"/>
        <n v="5236"/>
        <n v="22560"/>
        <n v="15435"/>
        <n v="9616"/>
        <n v="8835"/>
        <n v="5940"/>
        <n v="10098"/>
      </sharedItems>
      <fieldGroup base="7">
        <rangePr autoStart="0" autoEnd="0" startNum="0" endNum="10000" groupInterval="5001"/>
        <groupItems count="4">
          <s v="&lt;0"/>
          <s v="0-5000"/>
          <s v="5001-10001"/>
          <s v="&gt;10002"/>
        </groupItems>
      </fieldGroup>
    </cacheField>
  </cacheFields>
  <extLst>
    <ext xmlns:x14="http://schemas.microsoft.com/office/spreadsheetml/2009/9/main" uri="{725AE2AE-9491-48be-B2B4-4EB974FC3084}">
      <x14:pivotCacheDefinition pivotCacheId="2041153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x v="0"/>
  </r>
  <r>
    <x v="1"/>
    <x v="1"/>
    <x v="1"/>
    <x v="1"/>
    <x v="1"/>
    <x v="1"/>
    <x v="1"/>
    <x v="1"/>
  </r>
  <r>
    <x v="2"/>
    <x v="2"/>
    <x v="0"/>
    <x v="2"/>
    <x v="2"/>
    <x v="2"/>
    <x v="2"/>
    <x v="2"/>
  </r>
  <r>
    <x v="3"/>
    <x v="1"/>
    <x v="0"/>
    <x v="2"/>
    <x v="3"/>
    <x v="3"/>
    <x v="3"/>
    <x v="3"/>
  </r>
  <r>
    <x v="4"/>
    <x v="1"/>
    <x v="2"/>
    <x v="3"/>
    <x v="4"/>
    <x v="4"/>
    <x v="4"/>
    <x v="4"/>
  </r>
  <r>
    <x v="5"/>
    <x v="2"/>
    <x v="1"/>
    <x v="4"/>
    <x v="5"/>
    <x v="5"/>
    <x v="5"/>
    <x v="5"/>
  </r>
  <r>
    <x v="6"/>
    <x v="0"/>
    <x v="1"/>
    <x v="5"/>
    <x v="6"/>
    <x v="6"/>
    <x v="6"/>
    <x v="6"/>
  </r>
  <r>
    <x v="7"/>
    <x v="0"/>
    <x v="1"/>
    <x v="6"/>
    <x v="7"/>
    <x v="7"/>
    <x v="7"/>
    <x v="7"/>
  </r>
  <r>
    <x v="8"/>
    <x v="1"/>
    <x v="0"/>
    <x v="4"/>
    <x v="8"/>
    <x v="8"/>
    <x v="8"/>
    <x v="8"/>
  </r>
  <r>
    <x v="9"/>
    <x v="0"/>
    <x v="0"/>
    <x v="7"/>
    <x v="9"/>
    <x v="9"/>
    <x v="9"/>
    <x v="9"/>
  </r>
  <r>
    <x v="10"/>
    <x v="0"/>
    <x v="2"/>
    <x v="8"/>
    <x v="10"/>
    <x v="10"/>
    <x v="10"/>
    <x v="10"/>
  </r>
  <r>
    <x v="11"/>
    <x v="1"/>
    <x v="0"/>
    <x v="9"/>
    <x v="11"/>
    <x v="11"/>
    <x v="11"/>
    <x v="11"/>
  </r>
  <r>
    <x v="12"/>
    <x v="3"/>
    <x v="1"/>
    <x v="10"/>
    <x v="12"/>
    <x v="12"/>
    <x v="12"/>
    <x v="12"/>
  </r>
  <r>
    <x v="13"/>
    <x v="3"/>
    <x v="1"/>
    <x v="11"/>
    <x v="13"/>
    <x v="13"/>
    <x v="13"/>
    <x v="13"/>
  </r>
  <r>
    <x v="14"/>
    <x v="2"/>
    <x v="1"/>
    <x v="12"/>
    <x v="14"/>
    <x v="14"/>
    <x v="14"/>
    <x v="14"/>
  </r>
  <r>
    <x v="15"/>
    <x v="2"/>
    <x v="1"/>
    <x v="13"/>
    <x v="15"/>
    <x v="13"/>
    <x v="15"/>
    <x v="15"/>
  </r>
  <r>
    <x v="16"/>
    <x v="2"/>
    <x v="2"/>
    <x v="14"/>
    <x v="16"/>
    <x v="13"/>
    <x v="16"/>
    <x v="16"/>
  </r>
  <r>
    <x v="17"/>
    <x v="3"/>
    <x v="2"/>
    <x v="15"/>
    <x v="17"/>
    <x v="15"/>
    <x v="17"/>
    <x v="17"/>
  </r>
  <r>
    <x v="18"/>
    <x v="3"/>
    <x v="1"/>
    <x v="7"/>
    <x v="18"/>
    <x v="16"/>
    <x v="18"/>
    <x v="18"/>
  </r>
  <r>
    <x v="19"/>
    <x v="0"/>
    <x v="1"/>
    <x v="1"/>
    <x v="19"/>
    <x v="17"/>
    <x v="19"/>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5F1D2-6683-4061-8B6B-AC5D75C05158}"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7" firstHeaderRow="1" firstDataRow="1" firstDataCol="1"/>
  <pivotFields count="8">
    <pivotField numFmtId="14" showAll="0"/>
    <pivotField showAll="0">
      <items count="5">
        <item x="0"/>
        <item x="1"/>
        <item x="2"/>
        <item x="3"/>
        <item t="default"/>
      </items>
    </pivotField>
    <pivotField axis="axisRow" showAll="0">
      <items count="4">
        <item x="1"/>
        <item x="0"/>
        <item x="2"/>
        <item t="default"/>
      </items>
    </pivotField>
    <pivotField dataField="1" showAll="0"/>
    <pivotField showAll="0"/>
    <pivotField showAll="0"/>
    <pivotField showAll="0"/>
    <pivotField showAll="0">
      <items count="5">
        <item x="0"/>
        <item x="1"/>
        <item x="2"/>
        <item x="3"/>
        <item t="default"/>
      </items>
    </pivotField>
  </pivotFields>
  <rowFields count="1">
    <field x="2"/>
  </rowFields>
  <rowItems count="4">
    <i>
      <x/>
    </i>
    <i>
      <x v="1"/>
    </i>
    <i>
      <x v="2"/>
    </i>
    <i t="grand">
      <x/>
    </i>
  </rowItems>
  <colItems count="1">
    <i/>
  </colItems>
  <dataFields count="1">
    <dataField name="Sum of Units_Sold" fld="3" baseField="0" baseItem="0"/>
  </dataFields>
  <chartFormats count="8">
    <chartFormat chart="6"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2" count="1" selected="0">
            <x v="0"/>
          </reference>
        </references>
      </pivotArea>
    </chartFormat>
    <chartFormat chart="10" format="11">
      <pivotArea type="data" outline="0" fieldPosition="0">
        <references count="2">
          <reference field="4294967294" count="1" selected="0">
            <x v="0"/>
          </reference>
          <reference field="2" count="1" selected="0">
            <x v="1"/>
          </reference>
        </references>
      </pivotArea>
    </chartFormat>
    <chartFormat chart="10" format="12">
      <pivotArea type="data" outline="0" fieldPosition="0">
        <references count="2">
          <reference field="4294967294" count="1" selected="0">
            <x v="0"/>
          </reference>
          <reference field="2" count="1" selected="0">
            <x v="2"/>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18837-A5A3-4CD7-BADA-06737AB08178}"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24"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0"/>
        <item x="1"/>
        <item x="2"/>
        <item x="3"/>
        <item t="default"/>
      </items>
    </pivotField>
    <pivotField showAll="0">
      <items count="4">
        <item x="1"/>
        <item x="0"/>
        <item x="2"/>
        <item t="default"/>
      </items>
    </pivotField>
    <pivotField showAll="0"/>
    <pivotField showAll="0"/>
    <pivotField showAll="0"/>
    <pivotField dataField="1" showAll="0"/>
    <pivotField showAll="0">
      <items count="5">
        <item x="0"/>
        <item x="1"/>
        <item x="2"/>
        <item x="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Revenue" fld="6"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1DFDB-4C9F-4ABA-803F-BAD30AB25707}"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8">
    <pivotField numFmtId="14" showAll="0"/>
    <pivotField axis="axisRow" showAll="0">
      <items count="5">
        <item x="0"/>
        <item x="1"/>
        <item x="2"/>
        <item x="3"/>
        <item t="default"/>
      </items>
    </pivotField>
    <pivotField showAll="0">
      <items count="4">
        <item x="1"/>
        <item x="0"/>
        <item x="2"/>
        <item t="default"/>
      </items>
    </pivotField>
    <pivotField showAll="0"/>
    <pivotField showAll="0"/>
    <pivotField showAll="0"/>
    <pivotField showAll="0"/>
    <pivotField dataField="1" showAll="0">
      <items count="5">
        <item x="0"/>
        <item x="1"/>
        <item x="2"/>
        <item x="3"/>
        <item t="default"/>
      </items>
    </pivotField>
  </pivotFields>
  <rowFields count="1">
    <field x="1"/>
  </rowFields>
  <rowItems count="5">
    <i>
      <x/>
    </i>
    <i>
      <x v="1"/>
    </i>
    <i>
      <x v="2"/>
    </i>
    <i>
      <x v="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789D8-3657-457E-A82E-BDB0B42B2381}"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8">
    <pivotField numFmtId="14" showAll="0"/>
    <pivotField showAll="0">
      <items count="5">
        <item x="0"/>
        <item x="1"/>
        <item x="2"/>
        <item x="3"/>
        <item t="default"/>
      </items>
    </pivotField>
    <pivotField showAll="0">
      <items count="4">
        <item x="1"/>
        <item x="0"/>
        <item x="2"/>
        <item t="default"/>
      </items>
    </pivotField>
    <pivotField showAll="0">
      <items count="17">
        <item x="11"/>
        <item x="10"/>
        <item x="15"/>
        <item x="14"/>
        <item x="8"/>
        <item x="1"/>
        <item x="7"/>
        <item x="9"/>
        <item x="12"/>
        <item x="13"/>
        <item x="6"/>
        <item x="5"/>
        <item x="0"/>
        <item x="4"/>
        <item x="2"/>
        <item x="3"/>
        <item t="default"/>
      </items>
    </pivotField>
    <pivotField showAll="0">
      <items count="21">
        <item x="0"/>
        <item x="3"/>
        <item x="4"/>
        <item x="7"/>
        <item x="6"/>
        <item x="10"/>
        <item x="9"/>
        <item x="18"/>
        <item x="12"/>
        <item x="19"/>
        <item x="5"/>
        <item x="15"/>
        <item x="17"/>
        <item x="13"/>
        <item x="8"/>
        <item x="16"/>
        <item x="14"/>
        <item x="11"/>
        <item x="2"/>
        <item x="1"/>
        <item t="default"/>
      </items>
    </pivotField>
    <pivotField showAll="0">
      <items count="19">
        <item x="4"/>
        <item x="15"/>
        <item x="10"/>
        <item x="1"/>
        <item x="8"/>
        <item x="14"/>
        <item x="3"/>
        <item x="6"/>
        <item x="9"/>
        <item x="17"/>
        <item x="11"/>
        <item x="0"/>
        <item x="5"/>
        <item x="13"/>
        <item x="16"/>
        <item x="12"/>
        <item x="7"/>
        <item x="2"/>
        <item t="default"/>
      </items>
    </pivotField>
    <pivotField showAll="0">
      <items count="21">
        <item x="10"/>
        <item x="13"/>
        <item x="12"/>
        <item x="0"/>
        <item x="3"/>
        <item x="17"/>
        <item x="9"/>
        <item x="18"/>
        <item x="7"/>
        <item x="16"/>
        <item x="19"/>
        <item x="6"/>
        <item x="4"/>
        <item x="15"/>
        <item x="1"/>
        <item x="5"/>
        <item x="14"/>
        <item x="11"/>
        <item x="8"/>
        <item x="2"/>
        <item t="default"/>
      </items>
    </pivotField>
    <pivotField axis="axisRow" dataField="1" showAll="0" countASubtotal="1">
      <items count="5">
        <item x="0"/>
        <item x="1"/>
        <item x="2"/>
        <item x="3"/>
        <item t="countA"/>
      </items>
    </pivotField>
  </pivotFields>
  <rowFields count="1">
    <field x="7"/>
  </rowFields>
  <rowItems count="4">
    <i>
      <x v="1"/>
    </i>
    <i>
      <x v="2"/>
    </i>
    <i>
      <x v="3"/>
    </i>
    <i t="grand">
      <x/>
    </i>
  </rowItems>
  <colItems count="1">
    <i/>
  </colItems>
  <dataFields count="1">
    <dataField name="Count of Profit" fld="7" subtotal="count" baseField="7" baseItem="2"/>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49A0E1-2769-43B2-819C-917AD4CAE8AB}"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8">
    <pivotField numFmtId="14" showAll="0"/>
    <pivotField showAll="0">
      <items count="5">
        <item x="0"/>
        <item x="1"/>
        <item x="2"/>
        <item x="3"/>
        <item t="default"/>
      </items>
    </pivotField>
    <pivotField axis="axisRow" showAll="0">
      <items count="4">
        <item x="1"/>
        <item x="0"/>
        <item x="2"/>
        <item t="default"/>
      </items>
    </pivotField>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Sum of Units_Sold" fld="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901D4E4-E60A-4D38-BB35-D8E45CC18C2E}" sourceName="Region">
  <pivotTables>
    <pivotTable tabId="4" name="PivotTable4"/>
    <pivotTable tabId="3" name="PivotTable3"/>
    <pivotTable tabId="2" name="PivotTable1"/>
    <pivotTable tabId="7" name="PivotTable1"/>
    <pivotTable tabId="10" name="PivotTable2"/>
  </pivotTables>
  <data>
    <tabular pivotCacheId="204115336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185038-D1D0-4F79-8AAA-4F83DEE9FCB4}" sourceName="Product_Category">
  <pivotTables>
    <pivotTable tabId="4" name="PivotTable4"/>
    <pivotTable tabId="3" name="PivotTable3"/>
    <pivotTable tabId="7" name="PivotTable1"/>
    <pivotTable tabId="10" name="PivotTable2"/>
    <pivotTable tabId="2" name="PivotTable1"/>
  </pivotTables>
  <data>
    <tabular pivotCacheId="204115336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BA7338B-A77B-4994-8DB9-BED4B14B9BD8}" cache="Slicer_Region1" caption="Region" columnCount="4" style="001" rowHeight="234950"/>
  <slicer name="Product_Category" xr10:uid="{5A268150-DB29-43BD-AF25-C55DBE9238E9}" cache="Slicer_Product_Category" caption="Product_Category" columnCount="3" style="00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74CF86-5DE1-4AF2-A9F8-FA601B1F6959}"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9CCF40-90D2-40C8-99FE-982C5D6FCE95}" name="Table1" displayName="Table1" ref="A1:I21" totalsRowShown="0">
  <autoFilter ref="A1:I21" xr:uid="{B3D2F871-69FA-4BAA-BFFB-09C0799D4CCE}"/>
  <tableColumns count="9">
    <tableColumn id="1" xr3:uid="{8B0ADE89-B08E-431F-A9F1-FBEB8D43CDA8}" name="Date" dataDxfId="1"/>
    <tableColumn id="2" xr3:uid="{A04464EA-0369-4460-A380-1C554FF4415C}" name="Region"/>
    <tableColumn id="3" xr3:uid="{5958F43D-14C1-4AB3-99C9-EF081FE34498}" name="Product_Category"/>
    <tableColumn id="4" xr3:uid="{032E635B-0193-46DE-9B30-CC3292A572B1}" name="Units_Sold"/>
    <tableColumn id="5" xr3:uid="{74FBD8E0-22F2-4A03-84E8-73BF84BFCDBB}" name="Unit_Price"/>
    <tableColumn id="6" xr3:uid="{9775D29F-E96C-488B-A652-0E4466E2F08B}" name="Operational_Cost"/>
    <tableColumn id="7" xr3:uid="{CAF8775A-3D20-4A66-B50F-607AC22D0C2E}" name="Total_Revenue"/>
    <tableColumn id="8" xr3:uid="{6CFB34EB-0347-4CD0-9859-AB927E2DF928}" name="Profit"/>
    <tableColumn id="9" xr3:uid="{9F2FEF32-9272-4955-85BF-C154DB07A86B}" name="Column1" dataDxfId="0">
      <calculatedColumnFormula>IFERROR(Table1[[#This Row],[Profit]],"there id an eeroor in the value")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0BE1-E21E-4645-9708-A7FDA80C4F36}">
  <dimension ref="A1:X34"/>
  <sheetViews>
    <sheetView zoomScale="79" zoomScaleNormal="79" workbookViewId="0">
      <selection activeCell="Y29" sqref="Y29"/>
    </sheetView>
  </sheetViews>
  <sheetFormatPr defaultRowHeight="14.4" x14ac:dyDescent="0.3"/>
  <sheetData>
    <row r="1" spans="1:24" ht="22.8" customHeight="1" x14ac:dyDescent="0.3">
      <c r="A1" s="7"/>
      <c r="B1" s="7"/>
      <c r="C1" s="7"/>
      <c r="D1" s="7"/>
      <c r="E1" s="7"/>
      <c r="F1" s="7"/>
      <c r="G1" s="7"/>
      <c r="H1" s="7"/>
      <c r="I1" s="7"/>
      <c r="J1" s="7"/>
      <c r="K1" s="7"/>
      <c r="L1" s="7"/>
      <c r="M1" s="7"/>
      <c r="N1" s="7"/>
      <c r="O1" s="7"/>
      <c r="P1" s="7"/>
      <c r="Q1" s="7"/>
      <c r="R1" s="7"/>
      <c r="S1" s="7"/>
      <c r="T1" s="7"/>
      <c r="U1" s="7"/>
      <c r="V1" s="7"/>
      <c r="W1" s="7"/>
      <c r="X1" s="7"/>
    </row>
    <row r="2" spans="1:24" ht="32.4" customHeight="1" x14ac:dyDescent="0.7">
      <c r="A2" s="7"/>
      <c r="B2" s="7"/>
      <c r="C2" s="7"/>
      <c r="D2" s="7"/>
      <c r="E2" s="7"/>
      <c r="F2" s="7"/>
      <c r="G2" s="7"/>
      <c r="H2" s="7"/>
      <c r="I2" s="10" t="s">
        <v>29</v>
      </c>
      <c r="J2" s="9"/>
      <c r="K2" s="9"/>
      <c r="L2" s="9"/>
      <c r="M2" s="9"/>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sheetData>
  <mergeCells count="1">
    <mergeCell ref="I2: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D3457-411E-442E-818D-BE7A538F0D5C}">
  <dimension ref="A3:B7"/>
  <sheetViews>
    <sheetView workbookViewId="0">
      <selection activeCell="I15" sqref="I15"/>
    </sheetView>
  </sheetViews>
  <sheetFormatPr defaultRowHeight="14.4" x14ac:dyDescent="0.3"/>
  <cols>
    <col min="1" max="1" width="12.5546875" bestFit="1" customWidth="1"/>
    <col min="2" max="2" width="16.5546875" bestFit="1" customWidth="1"/>
    <col min="3" max="3" width="10.77734375" bestFit="1" customWidth="1"/>
    <col min="4" max="4" width="25" bestFit="1" customWidth="1"/>
    <col min="5" max="5" width="16.88671875" bestFit="1" customWidth="1"/>
    <col min="6" max="6" width="10.77734375" bestFit="1" customWidth="1"/>
  </cols>
  <sheetData>
    <row r="3" spans="1:2" x14ac:dyDescent="0.3">
      <c r="A3" s="3" t="s">
        <v>18</v>
      </c>
      <c r="B3" t="s">
        <v>22</v>
      </c>
    </row>
    <row r="4" spans="1:2" x14ac:dyDescent="0.3">
      <c r="A4" s="4" t="s">
        <v>11</v>
      </c>
      <c r="B4" s="5">
        <v>278</v>
      </c>
    </row>
    <row r="5" spans="1:2" x14ac:dyDescent="0.3">
      <c r="A5" s="4" t="s">
        <v>9</v>
      </c>
      <c r="B5" s="5">
        <v>225</v>
      </c>
    </row>
    <row r="6" spans="1:2" x14ac:dyDescent="0.3">
      <c r="A6" s="4" t="s">
        <v>13</v>
      </c>
      <c r="B6" s="5">
        <v>96</v>
      </c>
    </row>
    <row r="7" spans="1:2" x14ac:dyDescent="0.3">
      <c r="A7" s="4" t="s">
        <v>19</v>
      </c>
      <c r="B7" s="5">
        <v>599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11DC-D75F-4536-8C2F-D409C399BCDC}">
  <dimension ref="A3:B24"/>
  <sheetViews>
    <sheetView workbookViewId="0">
      <selection activeCell="H27" sqref="H27"/>
    </sheetView>
  </sheetViews>
  <sheetFormatPr defaultRowHeight="14.4" x14ac:dyDescent="0.3"/>
  <cols>
    <col min="1" max="1" width="12.5546875" bestFit="1" customWidth="1"/>
    <col min="2" max="2" width="20.21875" bestFit="1" customWidth="1"/>
  </cols>
  <sheetData>
    <row r="3" spans="1:2" x14ac:dyDescent="0.3">
      <c r="A3" s="3" t="s">
        <v>18</v>
      </c>
      <c r="B3" t="s">
        <v>20</v>
      </c>
    </row>
    <row r="4" spans="1:2" x14ac:dyDescent="0.3">
      <c r="A4" s="6">
        <v>46023</v>
      </c>
      <c r="B4" s="5">
        <v>6981</v>
      </c>
    </row>
    <row r="5" spans="1:2" x14ac:dyDescent="0.3">
      <c r="A5" s="6">
        <v>46024</v>
      </c>
      <c r="B5" s="5">
        <v>21780</v>
      </c>
    </row>
    <row r="6" spans="1:2" x14ac:dyDescent="0.3">
      <c r="A6" s="6">
        <v>46025</v>
      </c>
      <c r="B6" s="5">
        <v>41932</v>
      </c>
    </row>
    <row r="7" spans="1:2" x14ac:dyDescent="0.3">
      <c r="A7" s="6">
        <v>46026</v>
      </c>
      <c r="B7" s="5">
        <v>8844</v>
      </c>
    </row>
    <row r="8" spans="1:2" x14ac:dyDescent="0.3">
      <c r="A8" s="6">
        <v>46027</v>
      </c>
      <c r="B8" s="5">
        <v>13344</v>
      </c>
    </row>
    <row r="9" spans="1:2" x14ac:dyDescent="0.3">
      <c r="A9" s="6">
        <v>46028</v>
      </c>
      <c r="B9" s="5">
        <v>23604</v>
      </c>
    </row>
    <row r="10" spans="1:2" x14ac:dyDescent="0.3">
      <c r="A10" s="6">
        <v>46029</v>
      </c>
      <c r="B10" s="5">
        <v>12730</v>
      </c>
    </row>
    <row r="11" spans="1:2" x14ac:dyDescent="0.3">
      <c r="A11" s="6">
        <v>46030</v>
      </c>
      <c r="B11" s="5">
        <v>11448</v>
      </c>
    </row>
    <row r="12" spans="1:2" x14ac:dyDescent="0.3">
      <c r="A12" s="6">
        <v>46031</v>
      </c>
      <c r="B12" s="5">
        <v>28266</v>
      </c>
    </row>
    <row r="13" spans="1:2" x14ac:dyDescent="0.3">
      <c r="A13" s="6">
        <v>46032</v>
      </c>
      <c r="B13" s="5">
        <v>9774</v>
      </c>
    </row>
    <row r="14" spans="1:2" x14ac:dyDescent="0.3">
      <c r="A14" s="6">
        <v>46033</v>
      </c>
      <c r="B14" s="5">
        <v>5899</v>
      </c>
    </row>
    <row r="15" spans="1:2" x14ac:dyDescent="0.3">
      <c r="A15" s="6">
        <v>46034</v>
      </c>
      <c r="B15" s="5">
        <v>25172</v>
      </c>
    </row>
    <row r="16" spans="1:2" x14ac:dyDescent="0.3">
      <c r="A16" s="6">
        <v>46035</v>
      </c>
      <c r="B16" s="5">
        <v>6929</v>
      </c>
    </row>
    <row r="17" spans="1:2" x14ac:dyDescent="0.3">
      <c r="A17" s="6">
        <v>46036</v>
      </c>
      <c r="B17" s="5">
        <v>6820</v>
      </c>
    </row>
    <row r="18" spans="1:2" x14ac:dyDescent="0.3">
      <c r="A18" s="6">
        <v>46037</v>
      </c>
      <c r="B18" s="5">
        <v>24096</v>
      </c>
    </row>
    <row r="19" spans="1:2" x14ac:dyDescent="0.3">
      <c r="A19" s="6">
        <v>46038</v>
      </c>
      <c r="B19" s="5">
        <v>20475</v>
      </c>
    </row>
    <row r="20" spans="1:2" x14ac:dyDescent="0.3">
      <c r="A20" s="6">
        <v>46039</v>
      </c>
      <c r="B20" s="5">
        <v>11920</v>
      </c>
    </row>
    <row r="21" spans="1:2" x14ac:dyDescent="0.3">
      <c r="A21" s="6">
        <v>46040</v>
      </c>
      <c r="B21" s="5">
        <v>9210</v>
      </c>
    </row>
    <row r="22" spans="1:2" x14ac:dyDescent="0.3">
      <c r="A22" s="6">
        <v>46041</v>
      </c>
      <c r="B22" s="5">
        <v>10152</v>
      </c>
    </row>
    <row r="23" spans="1:2" x14ac:dyDescent="0.3">
      <c r="A23" s="6">
        <v>46042</v>
      </c>
      <c r="B23" s="5">
        <v>11990</v>
      </c>
    </row>
    <row r="24" spans="1:2" x14ac:dyDescent="0.3">
      <c r="A24" s="6" t="s">
        <v>19</v>
      </c>
      <c r="B24" s="5">
        <v>311366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A881C-3C08-469D-AD45-F8B7F09408D2}">
  <dimension ref="A3:F14"/>
  <sheetViews>
    <sheetView workbookViewId="0">
      <selection activeCell="B19" sqref="B19"/>
    </sheetView>
  </sheetViews>
  <sheetFormatPr defaultRowHeight="14.4" x14ac:dyDescent="0.3"/>
  <cols>
    <col min="1" max="1" width="12.5546875" bestFit="1" customWidth="1"/>
    <col min="2" max="2" width="12.109375" bestFit="1" customWidth="1"/>
  </cols>
  <sheetData>
    <row r="3" spans="1:6" x14ac:dyDescent="0.3">
      <c r="A3" s="3" t="s">
        <v>18</v>
      </c>
      <c r="B3" t="s">
        <v>21</v>
      </c>
    </row>
    <row r="4" spans="1:6" x14ac:dyDescent="0.3">
      <c r="A4" s="4" t="s">
        <v>8</v>
      </c>
      <c r="B4" s="5">
        <v>40903</v>
      </c>
    </row>
    <row r="5" spans="1:6" x14ac:dyDescent="0.3">
      <c r="A5" s="4" t="s">
        <v>10</v>
      </c>
      <c r="B5" s="5">
        <v>88947</v>
      </c>
    </row>
    <row r="6" spans="1:6" x14ac:dyDescent="0.3">
      <c r="A6" s="4" t="s">
        <v>12</v>
      </c>
      <c r="B6" s="5">
        <v>99199</v>
      </c>
    </row>
    <row r="7" spans="1:6" x14ac:dyDescent="0.3">
      <c r="A7" s="4" t="s">
        <v>14</v>
      </c>
      <c r="B7" s="5">
        <v>24639</v>
      </c>
    </row>
    <row r="8" spans="1:6" x14ac:dyDescent="0.3">
      <c r="A8" s="4" t="s">
        <v>19</v>
      </c>
      <c r="B8" s="5">
        <v>253688</v>
      </c>
    </row>
    <row r="14" spans="1:6" x14ac:dyDescent="0.3">
      <c r="F14" t="s">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C64A-77E2-42D0-99BF-346A477E9258}">
  <dimension ref="A3:B7"/>
  <sheetViews>
    <sheetView workbookViewId="0">
      <selection activeCell="I18" sqref="I18"/>
    </sheetView>
  </sheetViews>
  <sheetFormatPr defaultRowHeight="14.4" x14ac:dyDescent="0.3"/>
  <cols>
    <col min="1" max="1" width="12.5546875" bestFit="1" customWidth="1"/>
    <col min="2" max="2" width="13.5546875" bestFit="1" customWidth="1"/>
    <col min="3" max="3" width="20.21875" bestFit="1" customWidth="1"/>
    <col min="4" max="21" width="4" bestFit="1" customWidth="1"/>
    <col min="22" max="22" width="10.77734375" bestFit="1" customWidth="1"/>
  </cols>
  <sheetData>
    <row r="3" spans="1:2" x14ac:dyDescent="0.3">
      <c r="A3" s="3" t="s">
        <v>18</v>
      </c>
      <c r="B3" t="s">
        <v>26</v>
      </c>
    </row>
    <row r="4" spans="1:2" x14ac:dyDescent="0.3">
      <c r="A4" s="4" t="s">
        <v>23</v>
      </c>
      <c r="B4" s="5">
        <v>3</v>
      </c>
    </row>
    <row r="5" spans="1:2" x14ac:dyDescent="0.3">
      <c r="A5" s="4" t="s">
        <v>24</v>
      </c>
      <c r="B5" s="5">
        <v>7</v>
      </c>
    </row>
    <row r="6" spans="1:2" x14ac:dyDescent="0.3">
      <c r="A6" s="4" t="s">
        <v>25</v>
      </c>
      <c r="B6" s="5">
        <v>10</v>
      </c>
    </row>
    <row r="7" spans="1:2" x14ac:dyDescent="0.3">
      <c r="A7" s="4" t="s">
        <v>19</v>
      </c>
      <c r="B7" s="5">
        <v>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5CFC-D3D0-4E64-BB4C-BE0051394CEB}">
  <dimension ref="A3:B7"/>
  <sheetViews>
    <sheetView workbookViewId="0">
      <selection activeCell="C12" sqref="C12"/>
    </sheetView>
  </sheetViews>
  <sheetFormatPr defaultRowHeight="14.4" x14ac:dyDescent="0.3"/>
  <cols>
    <col min="1" max="1" width="12.5546875" bestFit="1" customWidth="1"/>
    <col min="2" max="2" width="16.5546875" bestFit="1" customWidth="1"/>
  </cols>
  <sheetData>
    <row r="3" spans="1:2" x14ac:dyDescent="0.3">
      <c r="A3" s="3" t="s">
        <v>18</v>
      </c>
      <c r="B3" t="s">
        <v>22</v>
      </c>
    </row>
    <row r="4" spans="1:2" x14ac:dyDescent="0.3">
      <c r="A4" s="4" t="s">
        <v>11</v>
      </c>
      <c r="B4" s="5">
        <v>278</v>
      </c>
    </row>
    <row r="5" spans="1:2" x14ac:dyDescent="0.3">
      <c r="A5" s="4" t="s">
        <v>9</v>
      </c>
      <c r="B5" s="5">
        <v>225</v>
      </c>
    </row>
    <row r="6" spans="1:2" x14ac:dyDescent="0.3">
      <c r="A6" s="4" t="s">
        <v>13</v>
      </c>
      <c r="B6" s="5">
        <v>96</v>
      </c>
    </row>
    <row r="7" spans="1:2" x14ac:dyDescent="0.3">
      <c r="A7" s="4" t="s">
        <v>19</v>
      </c>
      <c r="B7" s="5">
        <v>599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7C79-EE44-4709-8570-6B1BD29AE8CE}">
  <dimension ref="A1:M21"/>
  <sheetViews>
    <sheetView tabSelected="1" workbookViewId="0">
      <selection activeCell="F24" sqref="F24"/>
    </sheetView>
  </sheetViews>
  <sheetFormatPr defaultRowHeight="14.4" x14ac:dyDescent="0.3"/>
  <cols>
    <col min="1" max="1" width="15.44140625" bestFit="1" customWidth="1"/>
    <col min="2" max="2" width="8.6640625" customWidth="1"/>
    <col min="3" max="3" width="18.109375" customWidth="1"/>
    <col min="4" max="4" width="11.88671875" customWidth="1"/>
    <col min="5" max="5" width="11.5546875" customWidth="1"/>
    <col min="6" max="6" width="17.44140625" customWidth="1"/>
    <col min="7" max="7" width="15.44140625" customWidth="1"/>
    <col min="8" max="8" width="9.6640625" customWidth="1"/>
    <col min="12" max="12" width="12.77734375" customWidth="1"/>
  </cols>
  <sheetData>
    <row r="1" spans="1:13" x14ac:dyDescent="0.3">
      <c r="A1" t="s">
        <v>0</v>
      </c>
      <c r="B1" t="s">
        <v>1</v>
      </c>
      <c r="C1" t="s">
        <v>2</v>
      </c>
      <c r="D1" t="s">
        <v>3</v>
      </c>
      <c r="E1" t="s">
        <v>4</v>
      </c>
      <c r="F1" t="s">
        <v>5</v>
      </c>
      <c r="G1" t="s">
        <v>6</v>
      </c>
      <c r="H1" t="s">
        <v>7</v>
      </c>
      <c r="I1" t="s">
        <v>27</v>
      </c>
    </row>
    <row r="2" spans="1:13" x14ac:dyDescent="0.3">
      <c r="A2" s="1">
        <v>46023</v>
      </c>
      <c r="B2" t="s">
        <v>8</v>
      </c>
      <c r="C2" t="s">
        <v>9</v>
      </c>
      <c r="D2">
        <v>39</v>
      </c>
      <c r="E2">
        <v>179</v>
      </c>
      <c r="F2">
        <v>116</v>
      </c>
      <c r="G2">
        <v>6981</v>
      </c>
      <c r="H2">
        <v>2457</v>
      </c>
      <c r="I2">
        <f>IFERROR(Table1[[#This Row],[Profit]],"there id an eeroor in the value")</f>
        <v>2457</v>
      </c>
      <c r="J2" s="2" t="s">
        <v>15</v>
      </c>
    </row>
    <row r="3" spans="1:13" x14ac:dyDescent="0.3">
      <c r="A3" s="1">
        <v>46024</v>
      </c>
      <c r="B3" t="s">
        <v>10</v>
      </c>
      <c r="C3" t="s">
        <v>11</v>
      </c>
      <c r="D3">
        <v>22</v>
      </c>
      <c r="E3">
        <v>990</v>
      </c>
      <c r="F3">
        <v>32</v>
      </c>
      <c r="G3">
        <v>21780</v>
      </c>
      <c r="H3">
        <v>21076</v>
      </c>
      <c r="I3">
        <f>IFERROR(Table1[[#This Row],[Profit]],"there id an eeroor in the value")</f>
        <v>21076</v>
      </c>
    </row>
    <row r="4" spans="1:13" x14ac:dyDescent="0.3">
      <c r="A4" s="1">
        <v>46025</v>
      </c>
      <c r="B4" t="s">
        <v>12</v>
      </c>
      <c r="C4" t="s">
        <v>9</v>
      </c>
      <c r="D4">
        <v>44</v>
      </c>
      <c r="E4">
        <v>953</v>
      </c>
      <c r="F4">
        <v>191</v>
      </c>
      <c r="G4">
        <v>41932</v>
      </c>
      <c r="H4">
        <v>33528</v>
      </c>
      <c r="I4">
        <f>IFERROR(Table1[[#This Row],[Profit]],"there id an eeroor in the value")</f>
        <v>33528</v>
      </c>
      <c r="J4" s="2" t="s">
        <v>16</v>
      </c>
    </row>
    <row r="5" spans="1:13" x14ac:dyDescent="0.3">
      <c r="A5" s="1">
        <v>46026</v>
      </c>
      <c r="B5" t="s">
        <v>10</v>
      </c>
      <c r="C5" t="s">
        <v>9</v>
      </c>
      <c r="D5">
        <v>44</v>
      </c>
      <c r="E5">
        <v>201</v>
      </c>
      <c r="F5">
        <v>56</v>
      </c>
      <c r="G5">
        <v>8844</v>
      </c>
      <c r="H5">
        <v>6380</v>
      </c>
      <c r="I5">
        <f>IFERROR(Table1[[#This Row],[Profit]],"there id an eeroor in the value")</f>
        <v>6380</v>
      </c>
    </row>
    <row r="6" spans="1:13" x14ac:dyDescent="0.3">
      <c r="A6" s="1">
        <v>46027</v>
      </c>
      <c r="B6" t="s">
        <v>10</v>
      </c>
      <c r="C6" t="s">
        <v>13</v>
      </c>
      <c r="D6">
        <v>48</v>
      </c>
      <c r="E6">
        <v>278</v>
      </c>
      <c r="F6">
        <v>22</v>
      </c>
      <c r="G6">
        <v>13344</v>
      </c>
      <c r="H6">
        <v>12288</v>
      </c>
      <c r="I6">
        <f>IFERROR(Table1[[#This Row],[Profit]],"there id an eeroor in the value")</f>
        <v>12288</v>
      </c>
      <c r="J6" s="2" t="s">
        <v>17</v>
      </c>
    </row>
    <row r="7" spans="1:13" x14ac:dyDescent="0.3">
      <c r="A7" s="1">
        <v>46028</v>
      </c>
      <c r="B7" t="s">
        <v>12</v>
      </c>
      <c r="C7" t="s">
        <v>11</v>
      </c>
      <c r="D7">
        <v>42</v>
      </c>
      <c r="E7">
        <v>562</v>
      </c>
      <c r="F7">
        <v>132</v>
      </c>
      <c r="G7">
        <v>23604</v>
      </c>
      <c r="H7">
        <v>18060</v>
      </c>
      <c r="I7">
        <f>IFERROR(Table1[[#This Row],[Profit]],"there id an eeroor in the value")</f>
        <v>18060</v>
      </c>
    </row>
    <row r="8" spans="1:13" x14ac:dyDescent="0.3">
      <c r="A8" s="1">
        <v>46029</v>
      </c>
      <c r="B8" t="s">
        <v>8</v>
      </c>
      <c r="C8" t="s">
        <v>11</v>
      </c>
      <c r="D8">
        <v>38</v>
      </c>
      <c r="E8">
        <v>335</v>
      </c>
      <c r="F8">
        <v>60</v>
      </c>
      <c r="G8">
        <v>12730</v>
      </c>
      <c r="H8">
        <v>10450</v>
      </c>
      <c r="I8">
        <f>IFERROR(Table1[[#This Row],[Profit]],"there id an eeroor in the value")</f>
        <v>10450</v>
      </c>
    </row>
    <row r="9" spans="1:13" x14ac:dyDescent="0.3">
      <c r="A9" s="1">
        <v>46030</v>
      </c>
      <c r="B9" t="s">
        <v>8</v>
      </c>
      <c r="C9" t="s">
        <v>11</v>
      </c>
      <c r="D9">
        <v>36</v>
      </c>
      <c r="E9">
        <v>318</v>
      </c>
      <c r="F9">
        <v>187</v>
      </c>
      <c r="G9">
        <v>11448</v>
      </c>
      <c r="H9">
        <v>4716</v>
      </c>
      <c r="I9">
        <f>IFERROR(Table1[[#This Row],[Profit]],"there id an eeroor in the value")</f>
        <v>4716</v>
      </c>
      <c r="L9" t="s">
        <v>0</v>
      </c>
      <c r="M9" t="s">
        <v>28</v>
      </c>
    </row>
    <row r="10" spans="1:13" x14ac:dyDescent="0.3">
      <c r="A10" s="1">
        <v>46031</v>
      </c>
      <c r="B10" t="s">
        <v>10</v>
      </c>
      <c r="C10" t="s">
        <v>9</v>
      </c>
      <c r="D10">
        <v>42</v>
      </c>
      <c r="E10">
        <v>673</v>
      </c>
      <c r="F10">
        <v>38</v>
      </c>
      <c r="G10">
        <v>28266</v>
      </c>
      <c r="H10">
        <v>26670</v>
      </c>
      <c r="I10">
        <f>IFERROR(Table1[[#This Row],[Profit]],"there id an eeroor in the value")</f>
        <v>26670</v>
      </c>
      <c r="L10" s="8">
        <v>46033</v>
      </c>
      <c r="M10">
        <f>VLOOKUP(L10,Table1[#All],7,0)</f>
        <v>5899</v>
      </c>
    </row>
    <row r="11" spans="1:13" x14ac:dyDescent="0.3">
      <c r="A11" s="1">
        <v>46032</v>
      </c>
      <c r="B11" t="s">
        <v>8</v>
      </c>
      <c r="C11" t="s">
        <v>9</v>
      </c>
      <c r="D11">
        <v>27</v>
      </c>
      <c r="E11">
        <v>362</v>
      </c>
      <c r="F11">
        <v>74</v>
      </c>
      <c r="G11">
        <v>9774</v>
      </c>
      <c r="H11">
        <v>7776</v>
      </c>
      <c r="I11">
        <f>IFERROR(Table1[[#This Row],[Profit]],"there id an eeroor in the value")</f>
        <v>7776</v>
      </c>
    </row>
    <row r="12" spans="1:13" x14ac:dyDescent="0.3">
      <c r="A12" s="1">
        <v>46033</v>
      </c>
      <c r="B12" t="s">
        <v>8</v>
      </c>
      <c r="C12" t="s">
        <v>13</v>
      </c>
      <c r="D12">
        <v>17</v>
      </c>
      <c r="E12">
        <v>347</v>
      </c>
      <c r="F12">
        <v>29</v>
      </c>
      <c r="G12">
        <v>5899</v>
      </c>
      <c r="H12">
        <v>5406</v>
      </c>
      <c r="I12">
        <f>IFERROR(Table1[[#This Row],[Profit]],"there id an eeroor in the value")</f>
        <v>5406</v>
      </c>
    </row>
    <row r="13" spans="1:13" x14ac:dyDescent="0.3">
      <c r="A13" s="1">
        <v>46034</v>
      </c>
      <c r="B13" t="s">
        <v>10</v>
      </c>
      <c r="C13" t="s">
        <v>9</v>
      </c>
      <c r="D13">
        <v>29</v>
      </c>
      <c r="E13">
        <v>868</v>
      </c>
      <c r="F13">
        <v>91</v>
      </c>
      <c r="G13">
        <v>25172</v>
      </c>
      <c r="H13">
        <v>22533</v>
      </c>
      <c r="I13">
        <f>IFERROR(Table1[[#This Row],[Profit]],"there id an eeroor in the value")</f>
        <v>22533</v>
      </c>
    </row>
    <row r="14" spans="1:13" x14ac:dyDescent="0.3">
      <c r="A14" s="1">
        <v>46035</v>
      </c>
      <c r="B14" t="s">
        <v>14</v>
      </c>
      <c r="C14" t="s">
        <v>11</v>
      </c>
      <c r="D14">
        <v>13</v>
      </c>
      <c r="E14">
        <v>533</v>
      </c>
      <c r="F14">
        <v>177</v>
      </c>
      <c r="G14">
        <v>6929</v>
      </c>
      <c r="H14">
        <v>4628</v>
      </c>
      <c r="I14">
        <f>IFERROR(Table1[[#This Row],[Profit]],"there id an eeroor in the value")</f>
        <v>4628</v>
      </c>
    </row>
    <row r="15" spans="1:13" x14ac:dyDescent="0.3">
      <c r="A15" s="1">
        <v>46036</v>
      </c>
      <c r="B15" t="s">
        <v>14</v>
      </c>
      <c r="C15" t="s">
        <v>11</v>
      </c>
      <c r="D15">
        <v>11</v>
      </c>
      <c r="E15">
        <v>620</v>
      </c>
      <c r="F15">
        <v>144</v>
      </c>
      <c r="G15">
        <v>6820</v>
      </c>
      <c r="H15">
        <v>5236</v>
      </c>
      <c r="I15">
        <f>IFERROR(Table1[[#This Row],[Profit]],"there id an eeroor in the value")</f>
        <v>5236</v>
      </c>
    </row>
    <row r="16" spans="1:13" x14ac:dyDescent="0.3">
      <c r="A16" s="1">
        <v>46037</v>
      </c>
      <c r="B16" t="s">
        <v>12</v>
      </c>
      <c r="C16" t="s">
        <v>11</v>
      </c>
      <c r="D16">
        <v>32</v>
      </c>
      <c r="E16">
        <v>753</v>
      </c>
      <c r="F16">
        <v>48</v>
      </c>
      <c r="G16">
        <v>24096</v>
      </c>
      <c r="H16">
        <v>22560</v>
      </c>
      <c r="I16">
        <f>IFERROR(Table1[[#This Row],[Profit]],"there id an eeroor in the value")</f>
        <v>22560</v>
      </c>
    </row>
    <row r="17" spans="1:9" x14ac:dyDescent="0.3">
      <c r="A17" s="1">
        <v>46038</v>
      </c>
      <c r="B17" t="s">
        <v>12</v>
      </c>
      <c r="C17" t="s">
        <v>11</v>
      </c>
      <c r="D17">
        <v>35</v>
      </c>
      <c r="E17">
        <v>585</v>
      </c>
      <c r="F17">
        <v>144</v>
      </c>
      <c r="G17">
        <v>20475</v>
      </c>
      <c r="H17">
        <v>15435</v>
      </c>
      <c r="I17">
        <f>IFERROR(Table1[[#This Row],[Profit]],"there id an eeroor in the value")</f>
        <v>15435</v>
      </c>
    </row>
    <row r="18" spans="1:9" x14ac:dyDescent="0.3">
      <c r="A18" s="1">
        <v>46039</v>
      </c>
      <c r="B18" t="s">
        <v>12</v>
      </c>
      <c r="C18" t="s">
        <v>13</v>
      </c>
      <c r="D18">
        <v>16</v>
      </c>
      <c r="E18">
        <v>745</v>
      </c>
      <c r="F18">
        <v>144</v>
      </c>
      <c r="G18">
        <v>11920</v>
      </c>
      <c r="H18">
        <v>15435</v>
      </c>
      <c r="I18">
        <f>IFERROR(Table1[[#This Row],[Profit]],"there id an eeroor in the value")</f>
        <v>15435</v>
      </c>
    </row>
    <row r="19" spans="1:9" x14ac:dyDescent="0.3">
      <c r="A19" s="1">
        <v>46040</v>
      </c>
      <c r="B19" t="s">
        <v>14</v>
      </c>
      <c r="C19" t="s">
        <v>13</v>
      </c>
      <c r="D19">
        <v>15</v>
      </c>
      <c r="E19">
        <v>614</v>
      </c>
      <c r="F19">
        <v>25</v>
      </c>
      <c r="G19">
        <v>9210</v>
      </c>
      <c r="H19">
        <v>15435</v>
      </c>
      <c r="I19">
        <f>IFERROR(Table1[[#This Row],[Profit]],"there id an eeroor in the value")</f>
        <v>15435</v>
      </c>
    </row>
    <row r="20" spans="1:9" x14ac:dyDescent="0.3">
      <c r="A20" s="1">
        <v>46041</v>
      </c>
      <c r="B20" t="s">
        <v>14</v>
      </c>
      <c r="C20" t="s">
        <v>11</v>
      </c>
      <c r="D20">
        <v>27</v>
      </c>
      <c r="E20">
        <v>376</v>
      </c>
      <c r="F20">
        <v>156</v>
      </c>
      <c r="G20">
        <v>10152</v>
      </c>
      <c r="H20">
        <v>15435</v>
      </c>
      <c r="I20">
        <f>IFERROR(Table1[[#This Row],[Profit]],"there id an eeroor in the value")</f>
        <v>15435</v>
      </c>
    </row>
    <row r="21" spans="1:9" x14ac:dyDescent="0.3">
      <c r="A21" s="1">
        <v>46042</v>
      </c>
      <c r="B21" t="s">
        <v>8</v>
      </c>
      <c r="C21" t="s">
        <v>11</v>
      </c>
      <c r="D21">
        <v>22</v>
      </c>
      <c r="E21">
        <v>545</v>
      </c>
      <c r="F21">
        <v>86</v>
      </c>
      <c r="G21">
        <v>11990</v>
      </c>
      <c r="H21">
        <v>15435</v>
      </c>
      <c r="I21">
        <f>IFERROR(Table1[[#This Row],[Profit]],"there id an eeroor in the value")</f>
        <v>15435</v>
      </c>
    </row>
  </sheetData>
  <dataValidations count="1">
    <dataValidation type="list" allowBlank="1" showInputMessage="1" showErrorMessage="1" sqref="L10" xr:uid="{AC3C7AEE-4EE7-4B07-8CD4-0120034FB524}">
      <formula1>$A$2:$A$21</formula1>
    </dataValidation>
  </dataValidation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DA085C97-5B5A-4582-8690-81AF8B949B8A}">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1AB15FB3-611A-47D4-9459-4FFBF4B4C223}">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Final report</vt:lpstr>
      <vt:lpstr>Unit Sold by Category </vt:lpstr>
      <vt:lpstr>Daily Revenue Trend</vt:lpstr>
      <vt:lpstr>Total revenue by region</vt:lpstr>
      <vt:lpstr>Profit Distribution</vt:lpstr>
      <vt:lpstr>Top product</vt: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Tiwari</dc:creator>
  <cp:lastModifiedBy>Sandeep Tiwari</cp:lastModifiedBy>
  <cp:lastPrinted>2026-07-02T10:42:02Z</cp:lastPrinted>
  <dcterms:created xsi:type="dcterms:W3CDTF">2026-07-01T13:14:03Z</dcterms:created>
  <dcterms:modified xsi:type="dcterms:W3CDTF">2026-07-11T18:24:01Z</dcterms:modified>
</cp:coreProperties>
</file>